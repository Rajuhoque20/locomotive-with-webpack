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d.docs.live.net/7dfc0b049e3eeb49/Documents/My Docs/"/>
    </mc:Choice>
  </mc:AlternateContent>
  <xr:revisionPtr revIDLastSave="0" documentId="8_{DDADD89A-A8DE-4054-B158-B45EFAEE285A}" xr6:coauthVersionLast="47" xr6:coauthVersionMax="47" xr10:uidLastSave="{00000000-0000-0000-0000-000000000000}"/>
  <bookViews>
    <workbookView xWindow="-110" yWindow="-110" windowWidth="22620" windowHeight="13500" xr2:uid="{00000000-000D-0000-FFFF-FFFF00000000}"/>
  </bookViews>
  <sheets>
    <sheet name="Analysis" sheetId="1" r:id="rId1"/>
    <sheet name="Lagging Envelope Data" sheetId="5" r:id="rId2"/>
    <sheet name="Variable Friction Data" sheetId="3" r:id="rId3"/>
    <sheet name="Validation" sheetId="6" r:id="rId4"/>
    <sheet name="Liability" sheetId="8" r:id="rId5"/>
    <sheet name="Revisions" sheetId="7" r:id="rId6"/>
  </sheets>
  <functionGroups builtInGroupCount="19"/>
  <externalReferences>
    <externalReference r:id="rId7"/>
  </externalReferences>
  <definedNames>
    <definedName name="Duro">OFFSET('Lagging Envelope Data'!$E$4,0,0,COUNTA('Lagging Envelope Data'!$E$4:$E$1259))</definedName>
    <definedName name="EnvRangeRiskY">Analysis!$Q$96:$AG$96</definedName>
    <definedName name="EnvRngSafeY">Analysis!$Q$95:$AG$95</definedName>
    <definedName name="EnvRngX">Analysis!$Q$94:$AG$94</definedName>
    <definedName name="Lagging">OFFSET('Lagging Envelope Data'!$B$4,0,0,COUNTA('Lagging Envelope Data'!$B$4:$B$1259))</definedName>
    <definedName name="PBond">Validation!$D$2:$D$3</definedName>
    <definedName name="solver_adj" localSheetId="0" hidden="1">Analysis!$H$104</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in" localSheetId="0" hidden="1">2</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Analysis!$K$104</definedName>
    <definedName name="solver_pre" localSheetId="0" hidden="1">0.000001</definedName>
    <definedName name="solver_rbv" localSheetId="0" hidden="1">2</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0</definedName>
    <definedName name="solver_ver" localSheetId="0" hidden="1">3</definedName>
    <definedName name="Thickness">OFFSET('Lagging Envelope Data'!$C$4,0,0,COUNTA('Lagging Envelope Data'!$C$4:$C$1259))</definedName>
    <definedName name="UniqueDuro">OFFSET(Validation!$C$2, 0, 0, COUNT(IF(Validation!$C$2:$C$1000="", "", 1)), 1)</definedName>
    <definedName name="UniqueLagging">OFFSET(Validation!$A$2, 0, 0, COUNT(IF(Validation!$A$2:$A$1000="", "", 1)), 1)</definedName>
    <definedName name="UniqueThickness">OFFSET(Validation!$B$2, 0, 0, COUNT(IF(Validation!$B$2:$B$1000="", "", 1)), 1)</definedName>
    <definedName name="WR">'[1]Wire Rope Data'!$C$9:$C$27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47" i="1" l="1"/>
  <c r="V34" i="5"/>
  <c r="V29" i="5"/>
  <c r="V69" i="5"/>
  <c r="V49" i="5"/>
  <c r="V129" i="5" l="1"/>
  <c r="V124" i="5"/>
  <c r="V119" i="5"/>
  <c r="V109" i="5"/>
  <c r="V104" i="5"/>
  <c r="V99" i="5"/>
  <c r="V209" i="5"/>
  <c r="V204" i="5"/>
  <c r="V89" i="5"/>
  <c r="V84" i="5"/>
  <c r="V79" i="5"/>
  <c r="V249" i="5" l="1"/>
  <c r="V264" i="5" l="1"/>
  <c r="D15" i="3" l="1"/>
  <c r="D16" i="3" s="1"/>
  <c r="E15" i="3"/>
  <c r="F15" i="3"/>
  <c r="G15" i="3"/>
  <c r="G16" i="3" s="1"/>
  <c r="H15" i="3"/>
  <c r="I15" i="3"/>
  <c r="J15" i="3"/>
  <c r="J16" i="3" s="1"/>
  <c r="E16" i="3"/>
  <c r="F16" i="3"/>
  <c r="H16" i="3"/>
  <c r="I16" i="3"/>
  <c r="C15" i="3"/>
  <c r="C16" i="3" s="1"/>
  <c r="A2" i="6" a="1"/>
  <c r="A2" i="6" s="1"/>
  <c r="V179" i="5"/>
  <c r="V174" i="5"/>
  <c r="V169" i="5"/>
  <c r="V164" i="5"/>
  <c r="V159" i="5"/>
  <c r="V154" i="5"/>
  <c r="V149" i="5"/>
  <c r="V144" i="5"/>
  <c r="V139" i="5"/>
  <c r="V134" i="5"/>
  <c r="V114" i="5"/>
  <c r="V94" i="5"/>
  <c r="V74" i="5"/>
  <c r="V64" i="5"/>
  <c r="V59" i="5"/>
  <c r="V54" i="5"/>
  <c r="V44" i="5"/>
  <c r="V39" i="5"/>
  <c r="V24" i="5"/>
  <c r="V19" i="5"/>
  <c r="V14" i="5"/>
  <c r="V9" i="5"/>
  <c r="V4" i="5"/>
  <c r="A3" i="6" l="1" a="1"/>
  <c r="A3" i="6" s="1"/>
  <c r="A4" i="6" l="1" a="1"/>
  <c r="A4" i="6" s="1"/>
  <c r="A5" i="6" s="1" a="1"/>
  <c r="A5" i="6" s="1"/>
  <c r="A6" i="6" l="1" a="1"/>
  <c r="A6" i="6" s="1"/>
  <c r="A7" i="6" l="1" a="1"/>
  <c r="A7" i="6" s="1"/>
  <c r="A8" i="6" l="1" a="1"/>
  <c r="A8" i="6" s="1"/>
  <c r="A9" i="6" s="1" a="1"/>
  <c r="A9" i="6" s="1"/>
  <c r="A10" i="6" s="1" a="1"/>
  <c r="A10" i="6" s="1"/>
  <c r="A11" i="6" s="1" a="1"/>
  <c r="A11" i="6" s="1"/>
  <c r="A12" i="6" s="1" a="1"/>
  <c r="A12" i="6" s="1"/>
  <c r="A13" i="6" s="1" a="1"/>
  <c r="A13" i="6" s="1"/>
  <c r="A14" i="6" s="1" a="1"/>
  <c r="A14" i="6" s="1"/>
  <c r="A15" i="6" s="1" a="1"/>
  <c r="A15" i="6" s="1"/>
  <c r="A16" i="6" s="1" a="1"/>
  <c r="A16" i="6" s="1"/>
  <c r="A17" i="6" s="1" a="1"/>
  <c r="A17" i="6" s="1"/>
  <c r="A18" i="6" s="1" a="1"/>
  <c r="A18" i="6" s="1"/>
  <c r="A19" i="6" s="1" a="1"/>
  <c r="A19" i="6" s="1"/>
  <c r="A20" i="6" s="1" a="1"/>
  <c r="A20" i="6" s="1"/>
  <c r="A21" i="6" s="1" a="1"/>
  <c r="A21" i="6" s="1"/>
  <c r="A22" i="6" s="1" a="1"/>
  <c r="A22" i="6" s="1"/>
  <c r="A23" i="6" s="1" a="1"/>
  <c r="A23" i="6" s="1"/>
  <c r="A24" i="6" s="1" a="1"/>
  <c r="A24" i="6" s="1"/>
  <c r="A25" i="6" s="1" a="1"/>
  <c r="A25" i="6" s="1"/>
  <c r="A26" i="6" s="1" a="1"/>
  <c r="A26" i="6" s="1"/>
  <c r="A27" i="6" s="1" a="1"/>
  <c r="A27" i="6" s="1"/>
  <c r="V199" i="5" l="1"/>
  <c r="V194" i="5"/>
  <c r="V189" i="5"/>
  <c r="V184" i="5"/>
  <c r="V214" i="5"/>
  <c r="R220" i="5"/>
  <c r="T220" i="5"/>
  <c r="R221" i="5"/>
  <c r="R222" i="5"/>
  <c r="T222" i="5"/>
  <c r="V224" i="5"/>
  <c r="V229" i="5"/>
  <c r="V219" i="5" l="1"/>
  <c r="G74" i="1"/>
  <c r="D106" i="1"/>
  <c r="AG35" i="1" l="1" a="1"/>
  <c r="AG35" i="1" s="1"/>
  <c r="AG36" i="1" a="1"/>
  <c r="AG36" i="1" s="1"/>
  <c r="J97" i="1" a="1"/>
  <c r="AA100" i="1" a="1"/>
  <c r="J97" i="1" l="1"/>
  <c r="AA100" i="1"/>
  <c r="D2" i="6"/>
  <c r="D3" i="6"/>
  <c r="C2" i="6" l="1" a="1"/>
  <c r="C2" i="6" s="1"/>
  <c r="C3" i="6" s="1" a="1"/>
  <c r="C3" i="6" s="1"/>
  <c r="V101" i="1"/>
  <c r="AG33" i="1" a="1"/>
  <c r="AG33" i="1" s="1"/>
  <c r="AA97" i="1"/>
  <c r="AA101" i="1" a="1"/>
  <c r="C4" i="6" l="1" a="1"/>
  <c r="C4" i="6" s="1"/>
  <c r="AA101" i="1"/>
  <c r="AA98" i="1"/>
  <c r="V239" i="5"/>
  <c r="V234" i="5"/>
  <c r="C5" i="6" l="1" a="1"/>
  <c r="C5" i="6" s="1"/>
  <c r="C203" i="1"/>
  <c r="C204" i="1" s="1"/>
  <c r="C205" i="1" s="1"/>
  <c r="C206" i="1" s="1"/>
  <c r="C207" i="1" s="1"/>
  <c r="C208" i="1" s="1"/>
  <c r="C209" i="1" s="1"/>
  <c r="C210" i="1" s="1"/>
  <c r="C211" i="1" s="1"/>
  <c r="C212" i="1" s="1"/>
  <c r="C213" i="1" s="1"/>
  <c r="C214" i="1" s="1"/>
  <c r="C215" i="1" s="1"/>
  <c r="C216" i="1" s="1"/>
  <c r="C217" i="1" s="1"/>
  <c r="C218" i="1" s="1"/>
  <c r="C219" i="1" s="1"/>
  <c r="C220" i="1" s="1"/>
  <c r="C221" i="1" s="1"/>
  <c r="C222" i="1" s="1"/>
  <c r="C223" i="1" s="1"/>
  <c r="C224" i="1" s="1"/>
  <c r="C225" i="1" s="1"/>
  <c r="C226" i="1" s="1"/>
  <c r="C227" i="1" s="1"/>
  <c r="C228" i="1" s="1"/>
  <c r="C229" i="1" s="1"/>
  <c r="C230" i="1" s="1"/>
  <c r="C231" i="1" s="1"/>
  <c r="C232" i="1" s="1"/>
  <c r="C233" i="1" s="1"/>
  <c r="C234" i="1" s="1"/>
  <c r="C235" i="1" s="1"/>
  <c r="C236" i="1" s="1"/>
  <c r="C237" i="1" s="1"/>
  <c r="C238" i="1" s="1"/>
  <c r="C239" i="1" s="1"/>
  <c r="C240" i="1" s="1"/>
  <c r="C241" i="1" s="1"/>
  <c r="C242" i="1" s="1"/>
  <c r="C243" i="1" s="1"/>
  <c r="C244" i="1" s="1"/>
  <c r="C245" i="1" s="1"/>
  <c r="C246" i="1" s="1"/>
  <c r="C247" i="1" s="1"/>
  <c r="C248" i="1" s="1"/>
  <c r="C249" i="1" s="1"/>
  <c r="C250" i="1" s="1"/>
  <c r="C251" i="1" s="1"/>
  <c r="C252" i="1" s="1"/>
  <c r="C253" i="1" s="1"/>
  <c r="C254" i="1" s="1"/>
  <c r="C255" i="1" s="1"/>
  <c r="C256" i="1" s="1"/>
  <c r="C257" i="1" s="1"/>
  <c r="C258" i="1" s="1"/>
  <c r="C259" i="1" s="1"/>
  <c r="C260" i="1" s="1"/>
  <c r="C261" i="1" s="1"/>
  <c r="C262" i="1" s="1"/>
  <c r="C263" i="1" s="1"/>
  <c r="C264" i="1" s="1"/>
  <c r="C265" i="1" s="1"/>
  <c r="C266" i="1" s="1"/>
  <c r="C267" i="1" s="1"/>
  <c r="C268" i="1" s="1"/>
  <c r="C269" i="1" s="1"/>
  <c r="C270" i="1" s="1"/>
  <c r="C271" i="1" s="1"/>
  <c r="C272" i="1" s="1"/>
  <c r="C273" i="1" s="1"/>
  <c r="C274" i="1" s="1"/>
  <c r="C275" i="1" s="1"/>
  <c r="C276" i="1" s="1"/>
  <c r="C277" i="1" s="1"/>
  <c r="C278" i="1" s="1"/>
  <c r="C279" i="1" s="1"/>
  <c r="C280" i="1" s="1"/>
  <c r="C281" i="1" s="1"/>
  <c r="C282" i="1" s="1"/>
  <c r="C283" i="1" s="1"/>
  <c r="C284" i="1" s="1"/>
  <c r="C285" i="1" s="1"/>
  <c r="C286" i="1" s="1"/>
  <c r="C287" i="1" s="1"/>
  <c r="C288" i="1" s="1"/>
  <c r="C289" i="1" s="1"/>
  <c r="C290" i="1" s="1"/>
  <c r="C291" i="1" s="1"/>
  <c r="C292" i="1" s="1"/>
  <c r="C293" i="1" s="1"/>
  <c r="C294" i="1" s="1"/>
  <c r="C295" i="1" s="1"/>
  <c r="C296" i="1" s="1"/>
  <c r="C297" i="1" s="1"/>
  <c r="C298" i="1" s="1"/>
  <c r="C299" i="1" s="1"/>
  <c r="C300" i="1" s="1"/>
  <c r="C301" i="1" s="1"/>
  <c r="C302" i="1" s="1"/>
  <c r="C303" i="1" s="1"/>
  <c r="C304" i="1" s="1"/>
  <c r="C305" i="1" s="1"/>
  <c r="C306" i="1" s="1"/>
  <c r="C307" i="1" s="1"/>
  <c r="C308" i="1" s="1"/>
  <c r="C309" i="1" s="1"/>
  <c r="C310" i="1" s="1"/>
  <c r="C311" i="1" s="1"/>
  <c r="C312" i="1" s="1"/>
  <c r="C313" i="1" s="1"/>
  <c r="C314" i="1" s="1"/>
  <c r="C315" i="1" s="1"/>
  <c r="C316" i="1" s="1"/>
  <c r="C317" i="1" s="1"/>
  <c r="C318" i="1" s="1"/>
  <c r="C319" i="1" s="1"/>
  <c r="C320" i="1" s="1"/>
  <c r="C321" i="1" s="1"/>
  <c r="C322" i="1" s="1"/>
  <c r="C323" i="1" s="1"/>
  <c r="C324" i="1" s="1"/>
  <c r="C325" i="1" s="1"/>
  <c r="C326" i="1" s="1"/>
  <c r="C327" i="1" s="1"/>
  <c r="C328" i="1" s="1"/>
  <c r="C329" i="1" s="1"/>
  <c r="C330" i="1" s="1"/>
  <c r="C331" i="1" s="1"/>
  <c r="C332" i="1" s="1"/>
  <c r="C333" i="1" s="1"/>
  <c r="C334" i="1" s="1"/>
  <c r="C335" i="1" s="1"/>
  <c r="C336" i="1" s="1"/>
  <c r="C337" i="1" s="1"/>
  <c r="C338" i="1" s="1"/>
  <c r="C339" i="1" s="1"/>
  <c r="C340" i="1" s="1"/>
  <c r="C341" i="1" s="1"/>
  <c r="C342" i="1" s="1"/>
  <c r="C343" i="1" s="1"/>
  <c r="C344" i="1" s="1"/>
  <c r="C345" i="1" s="1"/>
  <c r="C346" i="1" s="1"/>
  <c r="C347" i="1" s="1"/>
  <c r="C348" i="1" s="1"/>
  <c r="C349" i="1" s="1"/>
  <c r="C350" i="1" s="1"/>
  <c r="C351" i="1" s="1"/>
  <c r="C352" i="1" s="1"/>
  <c r="C353" i="1" s="1"/>
  <c r="C354" i="1" s="1"/>
  <c r="C355" i="1" s="1"/>
  <c r="C356" i="1" s="1"/>
  <c r="C357" i="1" s="1"/>
  <c r="C358" i="1" s="1"/>
  <c r="C359" i="1" s="1"/>
  <c r="C360" i="1" s="1"/>
  <c r="C361" i="1" s="1"/>
  <c r="C362" i="1" s="1"/>
  <c r="C363" i="1" s="1"/>
  <c r="C364" i="1" s="1"/>
  <c r="C365" i="1" s="1"/>
  <c r="C366" i="1" s="1"/>
  <c r="C367" i="1" s="1"/>
  <c r="C368" i="1" s="1"/>
  <c r="C369" i="1" s="1"/>
  <c r="C370" i="1" s="1"/>
  <c r="C371" i="1" s="1"/>
  <c r="C372" i="1" s="1"/>
  <c r="C373" i="1" s="1"/>
  <c r="C374" i="1" s="1"/>
  <c r="C375" i="1" s="1"/>
  <c r="C376" i="1" s="1"/>
  <c r="C377" i="1" s="1"/>
  <c r="C378" i="1" s="1"/>
  <c r="C379" i="1" s="1"/>
  <c r="C380" i="1" s="1"/>
  <c r="C381" i="1" s="1"/>
  <c r="C382" i="1" s="1"/>
  <c r="C383" i="1" s="1"/>
  <c r="C384" i="1" s="1"/>
  <c r="C385" i="1" s="1"/>
  <c r="C386" i="1" s="1"/>
  <c r="C387" i="1" s="1"/>
  <c r="C388" i="1" s="1"/>
  <c r="C389" i="1" s="1"/>
  <c r="C390" i="1" s="1"/>
  <c r="C391" i="1" s="1"/>
  <c r="C392" i="1" s="1"/>
  <c r="C393" i="1" s="1"/>
  <c r="C394" i="1" s="1"/>
  <c r="C395" i="1" s="1"/>
  <c r="C396" i="1" s="1"/>
  <c r="C397" i="1" s="1"/>
  <c r="C398" i="1" s="1"/>
  <c r="C399" i="1" s="1"/>
  <c r="C400" i="1" s="1"/>
  <c r="C401" i="1" s="1"/>
  <c r="C402" i="1" s="1"/>
  <c r="C403" i="1" s="1"/>
  <c r="C404" i="1" s="1"/>
  <c r="C405" i="1" s="1"/>
  <c r="C406" i="1" s="1"/>
  <c r="C407" i="1" s="1"/>
  <c r="C408" i="1" s="1"/>
  <c r="C409" i="1" s="1"/>
  <c r="C410" i="1" s="1"/>
  <c r="C411" i="1" s="1"/>
  <c r="C412" i="1" s="1"/>
  <c r="C413" i="1" s="1"/>
  <c r="C414" i="1" s="1"/>
  <c r="C415" i="1" s="1"/>
  <c r="C416" i="1" s="1"/>
  <c r="C417" i="1" s="1"/>
  <c r="C418" i="1" s="1"/>
  <c r="C419" i="1" s="1"/>
  <c r="C420" i="1" s="1"/>
  <c r="C421" i="1" s="1"/>
  <c r="C422" i="1" s="1"/>
  <c r="C423" i="1" s="1"/>
  <c r="C424" i="1" s="1"/>
  <c r="C425" i="1" s="1"/>
  <c r="C426" i="1" s="1"/>
  <c r="C427" i="1" s="1"/>
  <c r="C428" i="1" s="1"/>
  <c r="C429" i="1" s="1"/>
  <c r="C430" i="1" s="1"/>
  <c r="C431" i="1" s="1"/>
  <c r="C432" i="1" s="1"/>
  <c r="C433" i="1" s="1"/>
  <c r="C434" i="1" s="1"/>
  <c r="C435" i="1" s="1"/>
  <c r="C436" i="1" s="1"/>
  <c r="C437" i="1" s="1"/>
  <c r="C438" i="1" s="1"/>
  <c r="C439" i="1" s="1"/>
  <c r="C440" i="1" s="1"/>
  <c r="C441" i="1" s="1"/>
  <c r="C442" i="1" s="1"/>
  <c r="C443" i="1" s="1"/>
  <c r="C444" i="1" s="1"/>
  <c r="C445" i="1" s="1"/>
  <c r="C446" i="1" s="1"/>
  <c r="C447" i="1" s="1"/>
  <c r="C448" i="1" s="1"/>
  <c r="C449" i="1" s="1"/>
  <c r="C450" i="1" s="1"/>
  <c r="C451" i="1" s="1"/>
  <c r="C452" i="1" s="1"/>
  <c r="C453" i="1" s="1"/>
  <c r="C454" i="1" s="1"/>
  <c r="C455" i="1" s="1"/>
  <c r="C456" i="1" s="1"/>
  <c r="C457" i="1" s="1"/>
  <c r="C458" i="1" s="1"/>
  <c r="C459" i="1" s="1"/>
  <c r="C460" i="1" s="1"/>
  <c r="C461" i="1" s="1"/>
  <c r="C462" i="1" s="1"/>
  <c r="C463" i="1" s="1"/>
  <c r="C464" i="1" s="1"/>
  <c r="C465" i="1" s="1"/>
  <c r="C466" i="1" s="1"/>
  <c r="C467" i="1" s="1"/>
  <c r="C468" i="1" s="1"/>
  <c r="C469" i="1" s="1"/>
  <c r="C470" i="1" s="1"/>
  <c r="C471" i="1" s="1"/>
  <c r="C472" i="1" s="1"/>
  <c r="C473" i="1" s="1"/>
  <c r="C474" i="1" s="1"/>
  <c r="C475" i="1" s="1"/>
  <c r="C476" i="1" s="1"/>
  <c r="C477" i="1" s="1"/>
  <c r="C478" i="1" s="1"/>
  <c r="C479" i="1" s="1"/>
  <c r="C480" i="1" s="1"/>
  <c r="C481" i="1" s="1"/>
  <c r="C482" i="1" s="1"/>
  <c r="C483" i="1" s="1"/>
  <c r="C484" i="1" s="1"/>
  <c r="C485" i="1" s="1"/>
  <c r="C486" i="1" s="1"/>
  <c r="C487" i="1" s="1"/>
  <c r="C488" i="1" s="1"/>
  <c r="C489" i="1" s="1"/>
  <c r="C490" i="1" s="1"/>
  <c r="C491" i="1" s="1"/>
  <c r="C492" i="1" s="1"/>
  <c r="C493" i="1" s="1"/>
  <c r="C494" i="1" s="1"/>
  <c r="C495" i="1" s="1"/>
  <c r="C496" i="1" s="1"/>
  <c r="C497" i="1" s="1"/>
  <c r="C498" i="1" s="1"/>
  <c r="C499" i="1" s="1"/>
  <c r="C500" i="1" s="1"/>
  <c r="C501" i="1" s="1"/>
  <c r="C502" i="1" s="1"/>
  <c r="C503" i="1" s="1"/>
  <c r="C504" i="1" s="1"/>
  <c r="C505" i="1" s="1"/>
  <c r="C506" i="1" s="1"/>
  <c r="C507" i="1" s="1"/>
  <c r="C508" i="1" s="1"/>
  <c r="C509" i="1" s="1"/>
  <c r="C510" i="1" s="1"/>
  <c r="C511" i="1" s="1"/>
  <c r="C512" i="1" s="1"/>
  <c r="C513" i="1" s="1"/>
  <c r="C514" i="1" s="1"/>
  <c r="C515" i="1" s="1"/>
  <c r="C516" i="1" s="1"/>
  <c r="C517" i="1" s="1"/>
  <c r="C518" i="1" s="1"/>
  <c r="C519" i="1" s="1"/>
  <c r="C520" i="1" s="1"/>
  <c r="C521" i="1" s="1"/>
  <c r="C522" i="1" s="1"/>
  <c r="C523" i="1" s="1"/>
  <c r="C524" i="1" s="1"/>
  <c r="C525" i="1" s="1"/>
  <c r="C526" i="1" s="1"/>
  <c r="C527" i="1" s="1"/>
  <c r="C528" i="1" s="1"/>
  <c r="C529" i="1" s="1"/>
  <c r="C530" i="1" s="1"/>
  <c r="C531" i="1" s="1"/>
  <c r="C532" i="1" s="1"/>
  <c r="C533" i="1" s="1"/>
  <c r="C534" i="1" s="1"/>
  <c r="C535" i="1" s="1"/>
  <c r="C536" i="1" s="1"/>
  <c r="C537" i="1" s="1"/>
  <c r="C538" i="1" s="1"/>
  <c r="C539" i="1" s="1"/>
  <c r="C540" i="1" s="1"/>
  <c r="C541" i="1" s="1"/>
  <c r="C542" i="1" s="1"/>
  <c r="C543" i="1" s="1"/>
  <c r="C544" i="1" s="1"/>
  <c r="C545" i="1" s="1"/>
  <c r="C546" i="1" s="1"/>
  <c r="C547" i="1" s="1"/>
  <c r="C548" i="1" s="1"/>
  <c r="C549" i="1" s="1"/>
  <c r="C550" i="1" s="1"/>
  <c r="C551" i="1" s="1"/>
  <c r="C552" i="1" s="1"/>
  <c r="C553" i="1" s="1"/>
  <c r="C554" i="1" s="1"/>
  <c r="C555" i="1" s="1"/>
  <c r="C556" i="1" s="1"/>
  <c r="C557" i="1" s="1"/>
  <c r="C558" i="1" s="1"/>
  <c r="C559" i="1" s="1"/>
  <c r="C560" i="1" s="1"/>
  <c r="C561" i="1" s="1"/>
  <c r="C562" i="1" s="1"/>
  <c r="C6" i="6" l="1" a="1"/>
  <c r="C6" i="6" s="1"/>
  <c r="CE98" i="1"/>
  <c r="CE97" i="1"/>
  <c r="CE96" i="1"/>
  <c r="CE102" i="1"/>
  <c r="CE103" i="1" a="1"/>
  <c r="C7" i="6" l="1" a="1"/>
  <c r="C7" i="6" s="1"/>
  <c r="CE103" i="1"/>
  <c r="C8" i="6" l="1" a="1"/>
  <c r="C8" i="6" s="1"/>
  <c r="AS98" i="1"/>
  <c r="AS102" i="1" a="1"/>
  <c r="AS101" i="1"/>
  <c r="C9" i="6" l="1" a="1"/>
  <c r="C9" i="6" s="1"/>
  <c r="C10" i="6" s="1" a="1"/>
  <c r="C10" i="6" s="1"/>
  <c r="C11" i="6" s="1" a="1"/>
  <c r="C11" i="6" s="1"/>
  <c r="C12" i="6" s="1" a="1"/>
  <c r="C12" i="6" s="1"/>
  <c r="C13" i="6" s="1" a="1"/>
  <c r="C13" i="6" s="1"/>
  <c r="C14" i="6" s="1" a="1"/>
  <c r="C14" i="6" s="1"/>
  <c r="C15" i="6" s="1" a="1"/>
  <c r="C15" i="6" s="1"/>
  <c r="C16" i="6" s="1" a="1"/>
  <c r="C16" i="6" s="1"/>
  <c r="C17" i="6" s="1" a="1"/>
  <c r="C17" i="6" s="1"/>
  <c r="C18" i="6" s="1" a="1"/>
  <c r="C18" i="6" s="1"/>
  <c r="C19" i="6" s="1" a="1"/>
  <c r="C19" i="6" s="1"/>
  <c r="C20" i="6" s="1" a="1"/>
  <c r="C20" i="6" s="1"/>
  <c r="C21" i="6" s="1" a="1"/>
  <c r="C21" i="6" s="1"/>
  <c r="C22" i="6" s="1" a="1"/>
  <c r="C22" i="6" s="1"/>
  <c r="C23" i="6" s="1" a="1"/>
  <c r="C23" i="6" s="1"/>
  <c r="C24" i="6" s="1" a="1"/>
  <c r="C24" i="6" s="1"/>
  <c r="C25" i="6" s="1" a="1"/>
  <c r="C25" i="6" s="1"/>
  <c r="C26" i="6" s="1" a="1"/>
  <c r="C26" i="6" s="1"/>
  <c r="C27" i="6" s="1" a="1"/>
  <c r="C27" i="6" s="1"/>
  <c r="AS102" i="1"/>
  <c r="AS97" i="1" l="1"/>
  <c r="AG52" i="1" l="1"/>
  <c r="BP98" i="1"/>
  <c r="BP96" i="1" l="1"/>
  <c r="BP97" i="1"/>
  <c r="AG51" i="1"/>
  <c r="AG45" i="1"/>
  <c r="BK106" i="1"/>
  <c r="BW106" i="1" s="1"/>
  <c r="AG21" i="1"/>
  <c r="AG10" i="1"/>
  <c r="AG22" i="1"/>
  <c r="H97" i="1"/>
  <c r="BP102" i="1"/>
  <c r="BP103" i="1" a="1"/>
  <c r="BP103" i="1" l="1"/>
  <c r="D92" i="1"/>
  <c r="D94" i="1" l="1"/>
  <c r="D99" i="1"/>
  <c r="D97" i="1"/>
  <c r="D98" i="1"/>
  <c r="D95" i="1"/>
  <c r="D93" i="1"/>
  <c r="R27" i="1" s="1"/>
  <c r="D96" i="1"/>
  <c r="E98" i="1" a="1"/>
  <c r="E98" i="1" s="1"/>
  <c r="E96" i="1" a="1"/>
  <c r="E96" i="1" s="1"/>
  <c r="E95" i="1" a="1"/>
  <c r="E95" i="1" s="1"/>
  <c r="E94" i="1" a="1"/>
  <c r="E94" i="1" s="1"/>
  <c r="E97" i="1" a="1"/>
  <c r="E97" i="1" s="1"/>
  <c r="H96" i="1"/>
  <c r="AG46" i="1"/>
  <c r="AG43" i="1"/>
  <c r="AG42" i="1"/>
  <c r="AI15" i="1"/>
  <c r="AG6" i="1"/>
  <c r="AG5" i="1"/>
  <c r="AF99" i="1" a="1"/>
  <c r="AA102" i="1" a="1"/>
  <c r="C101" i="1" l="1"/>
  <c r="AF99" i="1"/>
  <c r="AA102" i="1"/>
  <c r="AG48" i="1"/>
  <c r="D84" i="1"/>
  <c r="G84" i="1" s="1"/>
  <c r="D85" i="1"/>
  <c r="G85" i="1" s="1"/>
  <c r="AG15" i="1"/>
  <c r="AS96" i="1"/>
  <c r="S34" i="1"/>
  <c r="D48" i="1" l="1"/>
  <c r="AG16" i="1"/>
  <c r="BA102" i="1" l="1"/>
  <c r="BA101" i="1"/>
  <c r="BA100" i="1"/>
  <c r="D16" i="1"/>
  <c r="S33" i="1"/>
  <c r="S32" i="1"/>
  <c r="S31" i="1"/>
  <c r="L32" i="1"/>
  <c r="L31" i="1"/>
  <c r="B2" i="6" a="1"/>
  <c r="B2" i="6" s="1"/>
  <c r="B3" i="6" s="1" a="1"/>
  <c r="B3" i="6" s="1"/>
  <c r="D28" i="1"/>
  <c r="AX100" i="1" a="1"/>
  <c r="AX101" i="1" a="1"/>
  <c r="AX102" i="1" a="1"/>
  <c r="AX102" i="1" l="1"/>
  <c r="AX100" i="1"/>
  <c r="AX101" i="1"/>
  <c r="B4" i="6" a="1"/>
  <c r="B4" i="6" s="1"/>
  <c r="B5" i="6" l="1" a="1"/>
  <c r="B5" i="6" s="1"/>
  <c r="B6" i="6" s="1" a="1"/>
  <c r="B6" i="6" s="1"/>
  <c r="B7" i="6" l="1" a="1"/>
  <c r="B7" i="6" s="1"/>
  <c r="B8" i="6" s="1" a="1"/>
  <c r="B8" i="6" s="1"/>
  <c r="B9" i="6" l="1" a="1"/>
  <c r="B9" i="6" s="1"/>
  <c r="B10" i="6" l="1" a="1"/>
  <c r="B10" i="6" s="1"/>
  <c r="B11" i="6" s="1" a="1"/>
  <c r="B11" i="6" s="1"/>
  <c r="B12" i="6" s="1" a="1"/>
  <c r="B12" i="6" s="1"/>
  <c r="B13" i="6" s="1" a="1"/>
  <c r="B13" i="6" s="1"/>
  <c r="B14" i="6" s="1" a="1"/>
  <c r="B14" i="6" s="1"/>
  <c r="B15" i="6" s="1" a="1"/>
  <c r="B15" i="6" s="1"/>
  <c r="B16" i="6" s="1" a="1"/>
  <c r="B16" i="6" s="1"/>
  <c r="B17" i="6" s="1" a="1"/>
  <c r="B17" i="6" s="1"/>
  <c r="B18" i="6" s="1" a="1"/>
  <c r="B18" i="6" s="1"/>
  <c r="B19" i="6" s="1" a="1"/>
  <c r="B19" i="6" s="1"/>
  <c r="B20" i="6" s="1" a="1"/>
  <c r="B20" i="6" s="1"/>
  <c r="B21" i="6" s="1" a="1"/>
  <c r="B21" i="6" s="1"/>
  <c r="B22" i="6" s="1" a="1"/>
  <c r="B22" i="6" s="1"/>
  <c r="B23" i="6" s="1" a="1"/>
  <c r="B23" i="6" s="1"/>
  <c r="B24" i="6" s="1" a="1"/>
  <c r="B24" i="6" s="1"/>
  <c r="B25" i="6" s="1" a="1"/>
  <c r="B25" i="6" s="1"/>
  <c r="B26" i="6" s="1" a="1"/>
  <c r="B26" i="6" s="1"/>
  <c r="B27" i="6" s="1" a="1"/>
  <c r="B27" i="6" s="1"/>
  <c r="Z104" i="1" l="1"/>
  <c r="S94" i="1" s="1"/>
  <c r="R94" i="1" s="1"/>
  <c r="AA105" i="1"/>
  <c r="AB105" i="1"/>
  <c r="AC105" i="1"/>
  <c r="AD105" i="1"/>
  <c r="AE105" i="1"/>
  <c r="AF105" i="1"/>
  <c r="AG105" i="1"/>
  <c r="AH105" i="1"/>
  <c r="AI105" i="1"/>
  <c r="AJ105" i="1"/>
  <c r="Z105" i="1"/>
  <c r="AA104" i="1"/>
  <c r="T94" i="1" s="1"/>
  <c r="AB104" i="1"/>
  <c r="U94" i="1" s="1"/>
  <c r="AC104" i="1"/>
  <c r="V94" i="1" s="1"/>
  <c r="AD104" i="1"/>
  <c r="W94" i="1" s="1"/>
  <c r="AE104" i="1"/>
  <c r="X94" i="1" s="1"/>
  <c r="AF104" i="1"/>
  <c r="Y94" i="1" s="1"/>
  <c r="AG104" i="1"/>
  <c r="AA94" i="1" s="1"/>
  <c r="AH104" i="1"/>
  <c r="AC94" i="1" s="1"/>
  <c r="AI104" i="1"/>
  <c r="AE94" i="1" s="1"/>
  <c r="AJ104" i="1"/>
  <c r="AG94" i="1" s="1"/>
  <c r="AB94" i="1" l="1"/>
  <c r="AD94" i="1"/>
  <c r="AF94" i="1" s="1"/>
  <c r="Z94" i="1"/>
  <c r="AG14" i="1"/>
  <c r="AG26" i="1"/>
  <c r="H87" i="1" s="1"/>
  <c r="J87" i="1" s="1"/>
  <c r="K87" i="1" s="1"/>
  <c r="D87" i="1" s="1"/>
  <c r="AG25" i="1"/>
  <c r="AG18" i="1"/>
  <c r="AG8" i="1"/>
  <c r="AG9" i="1"/>
  <c r="AG7" i="1"/>
  <c r="BL106" i="1" s="1"/>
  <c r="V259" i="5"/>
  <c r="V254" i="5"/>
  <c r="F84" i="1" l="1"/>
  <c r="AG17" i="1"/>
  <c r="D17" i="1" s="1"/>
  <c r="D90" i="1"/>
  <c r="BL107" i="1"/>
  <c r="BX106" i="1"/>
  <c r="AG55" i="1"/>
  <c r="BL103" i="1" s="1"/>
  <c r="BK107" i="1"/>
  <c r="BW107" i="1" s="1"/>
  <c r="F85" i="1"/>
  <c r="AP106" i="1" s="1"/>
  <c r="AG11" i="1"/>
  <c r="D11" i="1" s="1"/>
  <c r="BL108" i="1" l="1"/>
  <c r="BX107" i="1"/>
  <c r="BL102" i="1"/>
  <c r="AG53" i="1" s="1"/>
  <c r="D53" i="1" s="1"/>
  <c r="BK108" i="1"/>
  <c r="BW108" i="1" s="1"/>
  <c r="V269" i="5"/>
  <c r="BW103" i="1" l="1"/>
  <c r="BW102" i="1"/>
  <c r="BW101" i="1"/>
  <c r="BN107" i="1" a="1"/>
  <c r="BN107" i="1" s="1"/>
  <c r="BN106" i="1" a="1"/>
  <c r="BN106" i="1" s="1"/>
  <c r="BN108" i="1" a="1"/>
  <c r="BN108" i="1" s="1"/>
  <c r="BL109" i="1"/>
  <c r="BX108" i="1"/>
  <c r="AG54" i="1"/>
  <c r="BM108" i="1" s="1" a="1"/>
  <c r="BM108" i="1" s="1"/>
  <c r="BY108" i="1" s="1"/>
  <c r="BK109" i="1"/>
  <c r="V244" i="5"/>
  <c r="AD102" i="1" a="1"/>
  <c r="AD102" i="1" s="1"/>
  <c r="CJ101" i="1" a="1"/>
  <c r="BU101" i="1" a="1"/>
  <c r="BU103" i="1" a="1"/>
  <c r="CJ102" i="1" a="1"/>
  <c r="BU102" i="1" a="1"/>
  <c r="BM107" i="1" l="1" a="1"/>
  <c r="BM107" i="1" s="1"/>
  <c r="BY107" i="1" s="1"/>
  <c r="BU102" i="1"/>
  <c r="CJ102" i="1"/>
  <c r="BU103" i="1"/>
  <c r="BU101" i="1"/>
  <c r="CJ101" i="1"/>
  <c r="BM106" i="1" a="1"/>
  <c r="BM106" i="1" s="1"/>
  <c r="BO108" i="1"/>
  <c r="BP108" i="1" s="1"/>
  <c r="BW109" i="1"/>
  <c r="BN109" i="1" a="1"/>
  <c r="BN109" i="1" s="1"/>
  <c r="BM109" i="1" a="1"/>
  <c r="BM109" i="1" s="1"/>
  <c r="BY109" i="1" s="1"/>
  <c r="BL110" i="1"/>
  <c r="BX109" i="1"/>
  <c r="BK110" i="1"/>
  <c r="Y107" i="1"/>
  <c r="AN106" i="1"/>
  <c r="AM106" i="1"/>
  <c r="AO106" i="1" s="1"/>
  <c r="AQ106" i="1" s="1"/>
  <c r="Y106" i="1"/>
  <c r="C106" i="1"/>
  <c r="C107" i="1" s="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C136" i="1" s="1"/>
  <c r="C137" i="1" s="1"/>
  <c r="C138" i="1" s="1"/>
  <c r="C139" i="1" s="1"/>
  <c r="C140" i="1" s="1"/>
  <c r="C141" i="1" s="1"/>
  <c r="C142" i="1" s="1"/>
  <c r="C143" i="1" s="1"/>
  <c r="C144" i="1" s="1"/>
  <c r="C145" i="1" s="1"/>
  <c r="C146" i="1" s="1"/>
  <c r="C147" i="1" s="1"/>
  <c r="C148" i="1" s="1"/>
  <c r="C149" i="1" s="1"/>
  <c r="C150" i="1" s="1"/>
  <c r="C151" i="1" s="1"/>
  <c r="C152" i="1" s="1"/>
  <c r="C153" i="1" s="1"/>
  <c r="C154" i="1" s="1"/>
  <c r="C155" i="1" s="1"/>
  <c r="C156" i="1" s="1"/>
  <c r="C157" i="1" s="1"/>
  <c r="C158" i="1" s="1"/>
  <c r="C159" i="1" s="1"/>
  <c r="C160" i="1" s="1"/>
  <c r="C161" i="1" s="1"/>
  <c r="C162" i="1" s="1"/>
  <c r="C163" i="1" s="1"/>
  <c r="C164" i="1" s="1"/>
  <c r="C165" i="1" s="1"/>
  <c r="C166" i="1" s="1"/>
  <c r="C167" i="1" s="1"/>
  <c r="C168" i="1" s="1"/>
  <c r="C169" i="1" s="1"/>
  <c r="C170" i="1" s="1"/>
  <c r="C171" i="1" s="1"/>
  <c r="C172" i="1" s="1"/>
  <c r="C173" i="1" s="1"/>
  <c r="C174" i="1" s="1"/>
  <c r="C175" i="1" s="1"/>
  <c r="C176" i="1" s="1"/>
  <c r="C177" i="1" s="1"/>
  <c r="C178" i="1" s="1"/>
  <c r="C179" i="1" s="1"/>
  <c r="C180" i="1" s="1"/>
  <c r="C181" i="1" s="1"/>
  <c r="C182" i="1" s="1"/>
  <c r="C183" i="1" s="1"/>
  <c r="C184" i="1" s="1"/>
  <c r="C185" i="1" s="1"/>
  <c r="C186" i="1" s="1"/>
  <c r="C187" i="1" s="1"/>
  <c r="C188" i="1" s="1"/>
  <c r="C189" i="1" s="1"/>
  <c r="C190" i="1" s="1"/>
  <c r="C191" i="1" s="1"/>
  <c r="C192" i="1" s="1"/>
  <c r="C193" i="1" s="1"/>
  <c r="C194" i="1" s="1"/>
  <c r="C195" i="1" s="1"/>
  <c r="C196" i="1" s="1"/>
  <c r="D70" i="1"/>
  <c r="AG27" i="1"/>
  <c r="D75" i="1"/>
  <c r="CJ103" i="1" a="1"/>
  <c r="BO107" i="1" l="1"/>
  <c r="BP107" i="1" s="1"/>
  <c r="CJ103" i="1"/>
  <c r="R26" i="1"/>
  <c r="R28" i="1" s="1"/>
  <c r="BY106" i="1"/>
  <c r="BO106" i="1"/>
  <c r="BP106" i="1" s="1"/>
  <c r="BR106" i="1" s="1"/>
  <c r="BW110" i="1"/>
  <c r="BN110" i="1" a="1"/>
  <c r="BN110" i="1" s="1"/>
  <c r="BM110" i="1" a="1"/>
  <c r="BM110" i="1" s="1"/>
  <c r="BY110" i="1" s="1"/>
  <c r="BO109" i="1"/>
  <c r="BP109" i="1" s="1"/>
  <c r="BL111" i="1"/>
  <c r="BX110" i="1"/>
  <c r="BZ108" i="1"/>
  <c r="BK111" i="1"/>
  <c r="AM107" i="1"/>
  <c r="BD106" i="1"/>
  <c r="AN107" i="1"/>
  <c r="BE106" i="1"/>
  <c r="AG29" i="1"/>
  <c r="D29" i="1" s="1"/>
  <c r="D27" i="1"/>
  <c r="BW111" i="1" l="1"/>
  <c r="BN111" i="1" a="1"/>
  <c r="BN111" i="1" s="1"/>
  <c r="BM111" i="1" a="1"/>
  <c r="BM111" i="1" s="1"/>
  <c r="BY111" i="1" s="1"/>
  <c r="BL112" i="1"/>
  <c r="BX111" i="1"/>
  <c r="BZ107" i="1"/>
  <c r="BZ109" i="1"/>
  <c r="BZ106" i="1"/>
  <c r="BO110" i="1"/>
  <c r="BP110" i="1" s="1"/>
  <c r="BQ107" i="1"/>
  <c r="BR107" i="1" s="1"/>
  <c r="BK112" i="1"/>
  <c r="AP107" i="1"/>
  <c r="AO107" i="1"/>
  <c r="BF106" i="1"/>
  <c r="AR106" i="1"/>
  <c r="AN108" i="1"/>
  <c r="BE107" i="1"/>
  <c r="AM108" i="1"/>
  <c r="BD107" i="1"/>
  <c r="D81" i="1"/>
  <c r="AE106" i="1"/>
  <c r="AE107" i="1" s="1"/>
  <c r="AD106" i="1"/>
  <c r="AD107" i="1" s="1"/>
  <c r="AC106" i="1"/>
  <c r="AC107" i="1" s="1"/>
  <c r="AJ106" i="1"/>
  <c r="AJ107" i="1" s="1"/>
  <c r="AB106" i="1"/>
  <c r="AB107" i="1" s="1"/>
  <c r="AA106" i="1"/>
  <c r="AA107" i="1" s="1"/>
  <c r="AI106" i="1"/>
  <c r="AI107" i="1" s="1"/>
  <c r="AF106" i="1"/>
  <c r="AF107" i="1" s="1"/>
  <c r="AG106" i="1"/>
  <c r="AG107" i="1" s="1"/>
  <c r="AH106" i="1"/>
  <c r="AH107" i="1" s="1"/>
  <c r="Z106" i="1"/>
  <c r="Z107" i="1" s="1"/>
  <c r="AQ107" i="1" l="1"/>
  <c r="AR107" i="1" s="1"/>
  <c r="BW112" i="1"/>
  <c r="BN112" i="1" a="1"/>
  <c r="BN112" i="1" s="1"/>
  <c r="BM112" i="1" a="1"/>
  <c r="BM112" i="1" s="1"/>
  <c r="BY112" i="1" s="1"/>
  <c r="BL113" i="1"/>
  <c r="BX112" i="1"/>
  <c r="BZ110" i="1"/>
  <c r="BQ108" i="1"/>
  <c r="BR108" i="1" s="1"/>
  <c r="BO111" i="1"/>
  <c r="BP111" i="1" s="1"/>
  <c r="BK113" i="1"/>
  <c r="AP108" i="1"/>
  <c r="AO108" i="1"/>
  <c r="BD108" i="1"/>
  <c r="AM109" i="1"/>
  <c r="AN109" i="1"/>
  <c r="BE108" i="1"/>
  <c r="AQ108" i="1" l="1"/>
  <c r="AR108" i="1" s="1"/>
  <c r="BW113" i="1"/>
  <c r="BN113" i="1" a="1"/>
  <c r="BN113" i="1" s="1"/>
  <c r="BM113" i="1" a="1"/>
  <c r="BM113" i="1" s="1"/>
  <c r="BY113" i="1" s="1"/>
  <c r="BL114" i="1"/>
  <c r="BX113" i="1"/>
  <c r="BQ109" i="1"/>
  <c r="BR109" i="1" s="1"/>
  <c r="BZ111" i="1"/>
  <c r="BO112" i="1"/>
  <c r="BP112" i="1" s="1"/>
  <c r="BK114" i="1"/>
  <c r="BF107" i="1"/>
  <c r="AP109" i="1"/>
  <c r="AO109" i="1"/>
  <c r="BD109" i="1"/>
  <c r="AM110" i="1"/>
  <c r="AN110" i="1"/>
  <c r="BE109" i="1"/>
  <c r="AQ109" i="1" l="1"/>
  <c r="BF109" i="1" s="1"/>
  <c r="BW114" i="1"/>
  <c r="BN114" i="1" a="1"/>
  <c r="BN114" i="1" s="1"/>
  <c r="BM114" i="1" a="1"/>
  <c r="BM114" i="1" s="1"/>
  <c r="BY114" i="1" s="1"/>
  <c r="BL115" i="1"/>
  <c r="BX114" i="1"/>
  <c r="BQ110" i="1"/>
  <c r="BR110" i="1" s="1"/>
  <c r="BZ112" i="1"/>
  <c r="BO113" i="1"/>
  <c r="BP113" i="1" s="1"/>
  <c r="BK115" i="1"/>
  <c r="BF108" i="1"/>
  <c r="AP110" i="1"/>
  <c r="AO110" i="1"/>
  <c r="BD110" i="1"/>
  <c r="AM111" i="1"/>
  <c r="AN111" i="1"/>
  <c r="BE110" i="1"/>
  <c r="AQ110" i="1" l="1"/>
  <c r="AR110" i="1" s="1"/>
  <c r="BW115" i="1"/>
  <c r="BN115" i="1" a="1"/>
  <c r="BN115" i="1" s="1"/>
  <c r="BM115" i="1" a="1"/>
  <c r="BM115" i="1" s="1"/>
  <c r="BY115" i="1" s="1"/>
  <c r="BL116" i="1"/>
  <c r="BX115" i="1"/>
  <c r="BQ111" i="1"/>
  <c r="BR111" i="1" s="1"/>
  <c r="BZ113" i="1"/>
  <c r="BO114" i="1"/>
  <c r="BP114" i="1" s="1"/>
  <c r="BK116" i="1"/>
  <c r="AR109" i="1"/>
  <c r="AP111" i="1"/>
  <c r="AO111" i="1"/>
  <c r="AN112" i="1"/>
  <c r="BE111" i="1"/>
  <c r="BD111" i="1"/>
  <c r="AM112" i="1"/>
  <c r="AQ111" i="1" l="1"/>
  <c r="BF111" i="1" s="1"/>
  <c r="BW116" i="1"/>
  <c r="BN116" i="1" a="1"/>
  <c r="BN116" i="1" s="1"/>
  <c r="BM116" i="1" a="1"/>
  <c r="BM116" i="1" s="1"/>
  <c r="BY116" i="1" s="1"/>
  <c r="BL117" i="1"/>
  <c r="BX116" i="1"/>
  <c r="BQ112" i="1"/>
  <c r="BR112" i="1" s="1"/>
  <c r="BZ114" i="1"/>
  <c r="BO115" i="1"/>
  <c r="BP115" i="1" s="1"/>
  <c r="BK117" i="1"/>
  <c r="BF110" i="1"/>
  <c r="AP112" i="1"/>
  <c r="AO112" i="1"/>
  <c r="BD112" i="1"/>
  <c r="AM113" i="1"/>
  <c r="AN113" i="1"/>
  <c r="BE112" i="1"/>
  <c r="AQ112" i="1" l="1"/>
  <c r="BF112" i="1" s="1"/>
  <c r="BW117" i="1"/>
  <c r="BN117" i="1" a="1"/>
  <c r="BN117" i="1" s="1"/>
  <c r="BM117" i="1" a="1"/>
  <c r="BM117" i="1" s="1"/>
  <c r="BY117" i="1" s="1"/>
  <c r="BL118" i="1"/>
  <c r="BX117" i="1"/>
  <c r="BQ113" i="1"/>
  <c r="BR113" i="1" s="1"/>
  <c r="BZ115" i="1"/>
  <c r="BO116" i="1"/>
  <c r="BP116" i="1" s="1"/>
  <c r="BK118" i="1"/>
  <c r="AR111" i="1"/>
  <c r="AP113" i="1"/>
  <c r="AO113" i="1"/>
  <c r="BD113" i="1"/>
  <c r="AM114" i="1"/>
  <c r="AN114" i="1"/>
  <c r="BE113" i="1"/>
  <c r="AQ113" i="1" l="1"/>
  <c r="AR113" i="1" s="1"/>
  <c r="BW118" i="1"/>
  <c r="BN118" i="1" a="1"/>
  <c r="BN118" i="1" s="1"/>
  <c r="BM118" i="1" a="1"/>
  <c r="BM118" i="1" s="1"/>
  <c r="BY118" i="1" s="1"/>
  <c r="BL119" i="1"/>
  <c r="BX118" i="1"/>
  <c r="BQ114" i="1"/>
  <c r="BR114" i="1" s="1"/>
  <c r="BZ116" i="1"/>
  <c r="BO117" i="1"/>
  <c r="BP117" i="1" s="1"/>
  <c r="BK119" i="1"/>
  <c r="AR112" i="1"/>
  <c r="AP114" i="1"/>
  <c r="AO114" i="1"/>
  <c r="AN115" i="1"/>
  <c r="BE114" i="1"/>
  <c r="BD114" i="1"/>
  <c r="AM115" i="1"/>
  <c r="AQ114" i="1" l="1"/>
  <c r="AR114" i="1" s="1"/>
  <c r="BW119" i="1"/>
  <c r="BN119" i="1" a="1"/>
  <c r="BN119" i="1" s="1"/>
  <c r="BM119" i="1" a="1"/>
  <c r="BM119" i="1" s="1"/>
  <c r="BY119" i="1" s="1"/>
  <c r="BL120" i="1"/>
  <c r="BX119" i="1"/>
  <c r="BQ115" i="1"/>
  <c r="BR115" i="1" s="1"/>
  <c r="BZ117" i="1"/>
  <c r="BO118" i="1"/>
  <c r="BP118" i="1" s="1"/>
  <c r="BK120" i="1"/>
  <c r="BF113" i="1"/>
  <c r="AP115" i="1"/>
  <c r="AO115" i="1"/>
  <c r="AN116" i="1"/>
  <c r="BE115" i="1"/>
  <c r="BD115" i="1"/>
  <c r="AM116" i="1"/>
  <c r="AQ115" i="1" l="1"/>
  <c r="AR115" i="1" s="1"/>
  <c r="BW120" i="1"/>
  <c r="BN120" i="1" a="1"/>
  <c r="BN120" i="1" s="1"/>
  <c r="BM120" i="1" a="1"/>
  <c r="BM120" i="1" s="1"/>
  <c r="BY120" i="1" s="1"/>
  <c r="BL121" i="1"/>
  <c r="BX120" i="1"/>
  <c r="BQ116" i="1"/>
  <c r="BR116" i="1" s="1"/>
  <c r="BZ118" i="1"/>
  <c r="BO119" i="1"/>
  <c r="BP119" i="1" s="1"/>
  <c r="BK121" i="1"/>
  <c r="BF114" i="1"/>
  <c r="AP116" i="1"/>
  <c r="AO116" i="1"/>
  <c r="BD116" i="1"/>
  <c r="AM117" i="1"/>
  <c r="AN117" i="1"/>
  <c r="BE116" i="1"/>
  <c r="AQ116" i="1" l="1"/>
  <c r="AR116" i="1" s="1"/>
  <c r="BW121" i="1"/>
  <c r="BN121" i="1" a="1"/>
  <c r="BN121" i="1" s="1"/>
  <c r="BM121" i="1" a="1"/>
  <c r="BM121" i="1" s="1"/>
  <c r="BY121" i="1" s="1"/>
  <c r="BL122" i="1"/>
  <c r="BX121" i="1"/>
  <c r="BZ119" i="1"/>
  <c r="BQ117" i="1"/>
  <c r="BR117" i="1" s="1"/>
  <c r="BO120" i="1"/>
  <c r="BP120" i="1" s="1"/>
  <c r="BK122" i="1"/>
  <c r="BF115" i="1"/>
  <c r="AP117" i="1"/>
  <c r="AO117" i="1"/>
  <c r="AN118" i="1"/>
  <c r="BE117" i="1"/>
  <c r="BD117" i="1"/>
  <c r="AM118" i="1"/>
  <c r="AQ117" i="1" l="1"/>
  <c r="BF117" i="1" s="1"/>
  <c r="BW122" i="1"/>
  <c r="BN122" i="1" a="1"/>
  <c r="BN122" i="1" s="1"/>
  <c r="BM122" i="1" a="1"/>
  <c r="BM122" i="1" s="1"/>
  <c r="BY122" i="1" s="1"/>
  <c r="BL123" i="1"/>
  <c r="BX122" i="1"/>
  <c r="BZ120" i="1"/>
  <c r="BQ118" i="1"/>
  <c r="BR118" i="1" s="1"/>
  <c r="BO121" i="1"/>
  <c r="BP121" i="1" s="1"/>
  <c r="BK123" i="1"/>
  <c r="BF116" i="1"/>
  <c r="AP118" i="1"/>
  <c r="AO118" i="1"/>
  <c r="AN119" i="1"/>
  <c r="BE118" i="1"/>
  <c r="BD118" i="1"/>
  <c r="AM119" i="1"/>
  <c r="AQ118" i="1" l="1"/>
  <c r="BF118" i="1" s="1"/>
  <c r="BW123" i="1"/>
  <c r="BN123" i="1" a="1"/>
  <c r="BN123" i="1" s="1"/>
  <c r="BM123" i="1" a="1"/>
  <c r="BM123" i="1" s="1"/>
  <c r="BY123" i="1" s="1"/>
  <c r="BL124" i="1"/>
  <c r="BX123" i="1"/>
  <c r="BZ121" i="1"/>
  <c r="BQ119" i="1"/>
  <c r="BR119" i="1" s="1"/>
  <c r="BO122" i="1"/>
  <c r="BP122" i="1" s="1"/>
  <c r="BK124" i="1"/>
  <c r="AR117" i="1"/>
  <c r="AP119" i="1"/>
  <c r="AO119" i="1"/>
  <c r="BD119" i="1"/>
  <c r="AM120" i="1"/>
  <c r="AN120" i="1"/>
  <c r="BE119" i="1"/>
  <c r="AQ119" i="1" l="1"/>
  <c r="AR119" i="1" s="1"/>
  <c r="BW124" i="1"/>
  <c r="BN124" i="1" a="1"/>
  <c r="BN124" i="1" s="1"/>
  <c r="BM124" i="1" a="1"/>
  <c r="BM124" i="1" s="1"/>
  <c r="BY124" i="1" s="1"/>
  <c r="BL125" i="1"/>
  <c r="BX124" i="1"/>
  <c r="BQ120" i="1"/>
  <c r="BR120" i="1" s="1"/>
  <c r="BZ122" i="1"/>
  <c r="BO123" i="1"/>
  <c r="BP123" i="1" s="1"/>
  <c r="BK125" i="1"/>
  <c r="AR118" i="1"/>
  <c r="AP120" i="1"/>
  <c r="AO120" i="1"/>
  <c r="AN121" i="1"/>
  <c r="BE120" i="1"/>
  <c r="BD120" i="1"/>
  <c r="AM121" i="1"/>
  <c r="AQ120" i="1" l="1"/>
  <c r="BF120" i="1" s="1"/>
  <c r="BW125" i="1"/>
  <c r="BN125" i="1" a="1"/>
  <c r="BN125" i="1" s="1"/>
  <c r="BM125" i="1" a="1"/>
  <c r="BM125" i="1" s="1"/>
  <c r="BY125" i="1" s="1"/>
  <c r="BL126" i="1"/>
  <c r="BX125" i="1"/>
  <c r="BQ121" i="1"/>
  <c r="BR121" i="1" s="1"/>
  <c r="BZ123" i="1"/>
  <c r="BO124" i="1"/>
  <c r="BP124" i="1" s="1"/>
  <c r="BK126" i="1"/>
  <c r="BF119" i="1"/>
  <c r="AP121" i="1"/>
  <c r="AO121" i="1"/>
  <c r="BD121" i="1"/>
  <c r="AM122" i="1"/>
  <c r="AN122" i="1"/>
  <c r="BE121" i="1"/>
  <c r="AQ121" i="1" l="1"/>
  <c r="AR121" i="1" s="1"/>
  <c r="BW126" i="1"/>
  <c r="BN126" i="1" a="1"/>
  <c r="BN126" i="1" s="1"/>
  <c r="BM126" i="1" a="1"/>
  <c r="BM126" i="1" s="1"/>
  <c r="BY126" i="1" s="1"/>
  <c r="BL127" i="1"/>
  <c r="BX126" i="1"/>
  <c r="BQ122" i="1"/>
  <c r="BR122" i="1" s="1"/>
  <c r="BZ124" i="1"/>
  <c r="BO125" i="1"/>
  <c r="BP125" i="1" s="1"/>
  <c r="BK127" i="1"/>
  <c r="AR120" i="1"/>
  <c r="AP122" i="1"/>
  <c r="AO122" i="1"/>
  <c r="AN123" i="1"/>
  <c r="BE122" i="1"/>
  <c r="BD122" i="1"/>
  <c r="AM123" i="1"/>
  <c r="AQ122" i="1" l="1"/>
  <c r="BF122" i="1" s="1"/>
  <c r="BW127" i="1"/>
  <c r="BN127" i="1" a="1"/>
  <c r="BN127" i="1" s="1"/>
  <c r="BM127" i="1" a="1"/>
  <c r="BM127" i="1" s="1"/>
  <c r="BY127" i="1" s="1"/>
  <c r="BL128" i="1"/>
  <c r="BX127" i="1"/>
  <c r="BQ123" i="1"/>
  <c r="BR123" i="1" s="1"/>
  <c r="BZ125" i="1"/>
  <c r="BO126" i="1"/>
  <c r="BP126" i="1" s="1"/>
  <c r="BK128" i="1"/>
  <c r="BF121" i="1"/>
  <c r="AP123" i="1"/>
  <c r="AO123" i="1"/>
  <c r="AN124" i="1"/>
  <c r="BE123" i="1"/>
  <c r="BD123" i="1"/>
  <c r="AM124" i="1"/>
  <c r="AQ123" i="1" l="1"/>
  <c r="BF123" i="1" s="1"/>
  <c r="BW128" i="1"/>
  <c r="BN128" i="1" a="1"/>
  <c r="BN128" i="1" s="1"/>
  <c r="BM128" i="1" a="1"/>
  <c r="BM128" i="1" s="1"/>
  <c r="BY128" i="1" s="1"/>
  <c r="BL129" i="1"/>
  <c r="BX128" i="1"/>
  <c r="BZ126" i="1"/>
  <c r="BQ124" i="1"/>
  <c r="BR124" i="1" s="1"/>
  <c r="BO127" i="1"/>
  <c r="BP127" i="1" s="1"/>
  <c r="BK129" i="1"/>
  <c r="AR122" i="1"/>
  <c r="AP124" i="1"/>
  <c r="AO124" i="1"/>
  <c r="BD124" i="1"/>
  <c r="AM125" i="1"/>
  <c r="AN125" i="1"/>
  <c r="BE124" i="1"/>
  <c r="BW129" i="1" l="1"/>
  <c r="BN129" i="1" a="1"/>
  <c r="BN129" i="1" s="1"/>
  <c r="BM129" i="1" a="1"/>
  <c r="BM129" i="1" s="1"/>
  <c r="BY129" i="1" s="1"/>
  <c r="BL130" i="1"/>
  <c r="BX129" i="1"/>
  <c r="BZ127" i="1"/>
  <c r="BQ125" i="1"/>
  <c r="BR125" i="1" s="1"/>
  <c r="BO128" i="1"/>
  <c r="BP128" i="1" s="1"/>
  <c r="BK130" i="1"/>
  <c r="AR123" i="1"/>
  <c r="AQ124" i="1"/>
  <c r="AR124" i="1" s="1"/>
  <c r="AP125" i="1"/>
  <c r="AO125" i="1"/>
  <c r="AN126" i="1"/>
  <c r="BE125" i="1"/>
  <c r="BD125" i="1"/>
  <c r="AM126" i="1"/>
  <c r="BW130" i="1" l="1"/>
  <c r="BN130" i="1" a="1"/>
  <c r="BN130" i="1" s="1"/>
  <c r="BM130" i="1" a="1"/>
  <c r="BM130" i="1" s="1"/>
  <c r="BY130" i="1" s="1"/>
  <c r="BL131" i="1"/>
  <c r="BX130" i="1"/>
  <c r="BQ126" i="1"/>
  <c r="BR126" i="1" s="1"/>
  <c r="BZ128" i="1"/>
  <c r="BO129" i="1"/>
  <c r="BP129" i="1" s="1"/>
  <c r="BK131" i="1"/>
  <c r="BF124" i="1"/>
  <c r="AP126" i="1"/>
  <c r="AO126" i="1"/>
  <c r="AQ125" i="1"/>
  <c r="BF125" i="1" s="1"/>
  <c r="AN127" i="1"/>
  <c r="BE126" i="1"/>
  <c r="BD126" i="1"/>
  <c r="AM127" i="1"/>
  <c r="BW131" i="1" l="1"/>
  <c r="BN131" i="1" a="1"/>
  <c r="BN131" i="1" s="1"/>
  <c r="BM131" i="1" a="1"/>
  <c r="BM131" i="1" s="1"/>
  <c r="BY131" i="1" s="1"/>
  <c r="BL132" i="1"/>
  <c r="BX131" i="1"/>
  <c r="BQ127" i="1"/>
  <c r="BR127" i="1" s="1"/>
  <c r="BZ129" i="1"/>
  <c r="BO130" i="1"/>
  <c r="BP130" i="1" s="1"/>
  <c r="BK132" i="1"/>
  <c r="AR125" i="1"/>
  <c r="AP127" i="1"/>
  <c r="AO127" i="1"/>
  <c r="AQ126" i="1"/>
  <c r="AR126" i="1" s="1"/>
  <c r="BD127" i="1"/>
  <c r="AM128" i="1"/>
  <c r="AN128" i="1"/>
  <c r="BE127" i="1"/>
  <c r="BW132" i="1" l="1"/>
  <c r="BN132" i="1" a="1"/>
  <c r="BN132" i="1" s="1"/>
  <c r="BM132" i="1" a="1"/>
  <c r="BM132" i="1" s="1"/>
  <c r="BY132" i="1" s="1"/>
  <c r="BL133" i="1"/>
  <c r="BX132" i="1"/>
  <c r="BQ128" i="1"/>
  <c r="BR128" i="1" s="1"/>
  <c r="BZ130" i="1"/>
  <c r="BO131" i="1"/>
  <c r="BP131" i="1" s="1"/>
  <c r="BK133" i="1"/>
  <c r="BF126" i="1"/>
  <c r="AP128" i="1"/>
  <c r="AO128" i="1"/>
  <c r="AQ127" i="1"/>
  <c r="AR127" i="1" s="1"/>
  <c r="BD128" i="1"/>
  <c r="AM129" i="1"/>
  <c r="AN129" i="1"/>
  <c r="BE128" i="1"/>
  <c r="BW133" i="1" l="1"/>
  <c r="BN133" i="1" a="1"/>
  <c r="BN133" i="1" s="1"/>
  <c r="BM133" i="1" a="1"/>
  <c r="BM133" i="1" s="1"/>
  <c r="BY133" i="1" s="1"/>
  <c r="BL134" i="1"/>
  <c r="BX133" i="1"/>
  <c r="BZ131" i="1"/>
  <c r="BQ129" i="1"/>
  <c r="BR129" i="1" s="1"/>
  <c r="BO132" i="1"/>
  <c r="BP132" i="1" s="1"/>
  <c r="BK134" i="1"/>
  <c r="BF127" i="1"/>
  <c r="AP129" i="1"/>
  <c r="AO129" i="1"/>
  <c r="AQ128" i="1"/>
  <c r="AR128" i="1" s="1"/>
  <c r="BD129" i="1"/>
  <c r="AM130" i="1"/>
  <c r="AN130" i="1"/>
  <c r="BE129" i="1"/>
  <c r="BW134" i="1" l="1"/>
  <c r="BN134" i="1" a="1"/>
  <c r="BN134" i="1" s="1"/>
  <c r="BM134" i="1" a="1"/>
  <c r="BM134" i="1" s="1"/>
  <c r="BY134" i="1" s="1"/>
  <c r="BL135" i="1"/>
  <c r="BX134" i="1"/>
  <c r="BZ132" i="1"/>
  <c r="BQ130" i="1"/>
  <c r="BR130" i="1" s="1"/>
  <c r="BO133" i="1"/>
  <c r="BP133" i="1" s="1"/>
  <c r="BK135" i="1"/>
  <c r="BF128" i="1"/>
  <c r="AP130" i="1"/>
  <c r="AO130" i="1"/>
  <c r="AQ129" i="1"/>
  <c r="AR129" i="1" s="1"/>
  <c r="BD130" i="1"/>
  <c r="AM131" i="1"/>
  <c r="AN131" i="1"/>
  <c r="BE130" i="1"/>
  <c r="BW135" i="1" l="1"/>
  <c r="BN135" i="1" a="1"/>
  <c r="BN135" i="1" s="1"/>
  <c r="BM135" i="1" a="1"/>
  <c r="BM135" i="1" s="1"/>
  <c r="BY135" i="1" s="1"/>
  <c r="BL136" i="1"/>
  <c r="BX135" i="1"/>
  <c r="BZ133" i="1"/>
  <c r="BQ131" i="1"/>
  <c r="BR131" i="1" s="1"/>
  <c r="BO134" i="1"/>
  <c r="BP134" i="1" s="1"/>
  <c r="BK136" i="1"/>
  <c r="BF129" i="1"/>
  <c r="AP131" i="1"/>
  <c r="AO131" i="1"/>
  <c r="AQ130" i="1"/>
  <c r="AR130" i="1" s="1"/>
  <c r="AN132" i="1"/>
  <c r="BE131" i="1"/>
  <c r="BD131" i="1"/>
  <c r="AM132" i="1"/>
  <c r="BW136" i="1" l="1"/>
  <c r="BN136" i="1" a="1"/>
  <c r="BN136" i="1" s="1"/>
  <c r="BM136" i="1" a="1"/>
  <c r="BM136" i="1" s="1"/>
  <c r="BY136" i="1" s="1"/>
  <c r="BL137" i="1"/>
  <c r="BX136" i="1"/>
  <c r="BZ134" i="1"/>
  <c r="BQ132" i="1"/>
  <c r="BR132" i="1" s="1"/>
  <c r="BO135" i="1"/>
  <c r="BP135" i="1" s="1"/>
  <c r="BK137" i="1"/>
  <c r="BF130" i="1"/>
  <c r="AQ131" i="1"/>
  <c r="AR131" i="1" s="1"/>
  <c r="AP132" i="1"/>
  <c r="AO132" i="1"/>
  <c r="BD132" i="1"/>
  <c r="AM133" i="1"/>
  <c r="AN133" i="1"/>
  <c r="BE132" i="1"/>
  <c r="BW137" i="1" l="1"/>
  <c r="BN137" i="1" a="1"/>
  <c r="BN137" i="1" s="1"/>
  <c r="BM137" i="1" a="1"/>
  <c r="BM137" i="1" s="1"/>
  <c r="BY137" i="1" s="1"/>
  <c r="BL138" i="1"/>
  <c r="BX137" i="1"/>
  <c r="BQ133" i="1"/>
  <c r="BR133" i="1" s="1"/>
  <c r="BZ135" i="1"/>
  <c r="BO136" i="1"/>
  <c r="BP136" i="1" s="1"/>
  <c r="BK138" i="1"/>
  <c r="BF131" i="1"/>
  <c r="AP133" i="1"/>
  <c r="AO133" i="1"/>
  <c r="AQ132" i="1"/>
  <c r="AR132" i="1" s="1"/>
  <c r="BD133" i="1"/>
  <c r="AM134" i="1"/>
  <c r="AN134" i="1"/>
  <c r="BE133" i="1"/>
  <c r="BW138" i="1" l="1"/>
  <c r="BN138" i="1" a="1"/>
  <c r="BN138" i="1" s="1"/>
  <c r="BM138" i="1" a="1"/>
  <c r="BM138" i="1" s="1"/>
  <c r="BY138" i="1" s="1"/>
  <c r="BL139" i="1"/>
  <c r="BX138" i="1"/>
  <c r="BQ134" i="1"/>
  <c r="BR134" i="1" s="1"/>
  <c r="BZ136" i="1"/>
  <c r="BO137" i="1"/>
  <c r="BP137" i="1" s="1"/>
  <c r="BK139" i="1"/>
  <c r="BF132" i="1"/>
  <c r="AP134" i="1"/>
  <c r="AO134" i="1"/>
  <c r="AQ133" i="1"/>
  <c r="AR133" i="1" s="1"/>
  <c r="BD134" i="1"/>
  <c r="AM135" i="1"/>
  <c r="AN135" i="1"/>
  <c r="BE134" i="1"/>
  <c r="BW139" i="1" l="1"/>
  <c r="BN139" i="1" a="1"/>
  <c r="BN139" i="1" s="1"/>
  <c r="BM139" i="1" a="1"/>
  <c r="BM139" i="1" s="1"/>
  <c r="BY139" i="1" s="1"/>
  <c r="BL140" i="1"/>
  <c r="BX139" i="1"/>
  <c r="BZ137" i="1"/>
  <c r="BQ135" i="1"/>
  <c r="BR135" i="1" s="1"/>
  <c r="BO138" i="1"/>
  <c r="BP138" i="1" s="1"/>
  <c r="BK140" i="1"/>
  <c r="BF133" i="1"/>
  <c r="AP135" i="1"/>
  <c r="AO135" i="1"/>
  <c r="AQ134" i="1"/>
  <c r="AR134" i="1" s="1"/>
  <c r="BD135" i="1"/>
  <c r="AM136" i="1"/>
  <c r="AN136" i="1"/>
  <c r="BE135" i="1"/>
  <c r="BW140" i="1" l="1"/>
  <c r="BN140" i="1" a="1"/>
  <c r="BN140" i="1" s="1"/>
  <c r="BM140" i="1" a="1"/>
  <c r="BM140" i="1" s="1"/>
  <c r="BY140" i="1" s="1"/>
  <c r="BL141" i="1"/>
  <c r="BX140" i="1"/>
  <c r="BZ138" i="1"/>
  <c r="BQ136" i="1"/>
  <c r="BR136" i="1" s="1"/>
  <c r="BO139" i="1"/>
  <c r="BP139" i="1" s="1"/>
  <c r="BK141" i="1"/>
  <c r="BF134" i="1"/>
  <c r="AP136" i="1"/>
  <c r="AO136" i="1"/>
  <c r="AQ135" i="1"/>
  <c r="AR135" i="1" s="1"/>
  <c r="AN137" i="1"/>
  <c r="BE136" i="1"/>
  <c r="BD136" i="1"/>
  <c r="AM137" i="1"/>
  <c r="BW141" i="1" l="1"/>
  <c r="BN141" i="1" a="1"/>
  <c r="BN141" i="1" s="1"/>
  <c r="BM141" i="1" a="1"/>
  <c r="BM141" i="1" s="1"/>
  <c r="BY141" i="1" s="1"/>
  <c r="BL142" i="1"/>
  <c r="BX141" i="1"/>
  <c r="BZ139" i="1"/>
  <c r="BQ137" i="1"/>
  <c r="BR137" i="1" s="1"/>
  <c r="BO140" i="1"/>
  <c r="BP140" i="1" s="1"/>
  <c r="BK142" i="1"/>
  <c r="BF135" i="1"/>
  <c r="AP137" i="1"/>
  <c r="AO137" i="1"/>
  <c r="AQ136" i="1"/>
  <c r="AR136" i="1" s="1"/>
  <c r="BD137" i="1"/>
  <c r="AM138" i="1"/>
  <c r="AN138" i="1"/>
  <c r="BE137" i="1"/>
  <c r="BW142" i="1" l="1"/>
  <c r="BN142" i="1" a="1"/>
  <c r="BN142" i="1" s="1"/>
  <c r="BM142" i="1" a="1"/>
  <c r="BM142" i="1" s="1"/>
  <c r="BY142" i="1" s="1"/>
  <c r="BL143" i="1"/>
  <c r="BX142" i="1"/>
  <c r="BZ140" i="1"/>
  <c r="BQ138" i="1"/>
  <c r="BR138" i="1" s="1"/>
  <c r="BO141" i="1"/>
  <c r="BP141" i="1" s="1"/>
  <c r="BK143" i="1"/>
  <c r="BF136" i="1"/>
  <c r="AP138" i="1"/>
  <c r="AO138" i="1"/>
  <c r="AQ137" i="1"/>
  <c r="AR137" i="1" s="1"/>
  <c r="AN139" i="1"/>
  <c r="BE138" i="1"/>
  <c r="BD138" i="1"/>
  <c r="AM139" i="1"/>
  <c r="BW143" i="1" l="1"/>
  <c r="BN143" i="1" a="1"/>
  <c r="BN143" i="1" s="1"/>
  <c r="BM143" i="1" a="1"/>
  <c r="BM143" i="1" s="1"/>
  <c r="BY143" i="1" s="1"/>
  <c r="BL144" i="1"/>
  <c r="BX143" i="1"/>
  <c r="BZ141" i="1"/>
  <c r="BQ139" i="1"/>
  <c r="BR139" i="1" s="1"/>
  <c r="BO142" i="1"/>
  <c r="BP142" i="1" s="1"/>
  <c r="BK144" i="1"/>
  <c r="BF137" i="1"/>
  <c r="AP139" i="1"/>
  <c r="AO139" i="1"/>
  <c r="AQ138" i="1"/>
  <c r="BF138" i="1" s="1"/>
  <c r="BD139" i="1"/>
  <c r="AM140" i="1"/>
  <c r="AN140" i="1"/>
  <c r="BE139" i="1"/>
  <c r="BW144" i="1" l="1"/>
  <c r="BN144" i="1" a="1"/>
  <c r="BN144" i="1" s="1"/>
  <c r="BM144" i="1" a="1"/>
  <c r="BM144" i="1" s="1"/>
  <c r="BY144" i="1" s="1"/>
  <c r="BL145" i="1"/>
  <c r="BX144" i="1"/>
  <c r="BZ142" i="1"/>
  <c r="BQ140" i="1"/>
  <c r="BR140" i="1" s="1"/>
  <c r="BO143" i="1"/>
  <c r="BP143" i="1" s="1"/>
  <c r="BK145" i="1"/>
  <c r="AR138" i="1"/>
  <c r="AP140" i="1"/>
  <c r="AO140" i="1"/>
  <c r="AQ139" i="1"/>
  <c r="BF139" i="1" s="1"/>
  <c r="AN141" i="1"/>
  <c r="BE140" i="1"/>
  <c r="BD140" i="1"/>
  <c r="AM141" i="1"/>
  <c r="BW145" i="1" l="1"/>
  <c r="BN145" i="1" a="1"/>
  <c r="BN145" i="1" s="1"/>
  <c r="BM145" i="1" a="1"/>
  <c r="BM145" i="1" s="1"/>
  <c r="BY145" i="1" s="1"/>
  <c r="BL146" i="1"/>
  <c r="BX145" i="1"/>
  <c r="BZ143" i="1"/>
  <c r="BQ141" i="1"/>
  <c r="BR141" i="1" s="1"/>
  <c r="BO144" i="1"/>
  <c r="BP144" i="1" s="1"/>
  <c r="BK146" i="1"/>
  <c r="AR139" i="1"/>
  <c r="AP141" i="1"/>
  <c r="AO141" i="1"/>
  <c r="AQ140" i="1"/>
  <c r="BF140" i="1" s="1"/>
  <c r="AN142" i="1"/>
  <c r="BE141" i="1"/>
  <c r="BD141" i="1"/>
  <c r="AM142" i="1"/>
  <c r="BW146" i="1" l="1"/>
  <c r="BN146" i="1" a="1"/>
  <c r="BN146" i="1" s="1"/>
  <c r="BM146" i="1" a="1"/>
  <c r="BM146" i="1" s="1"/>
  <c r="BY146" i="1" s="1"/>
  <c r="BL147" i="1"/>
  <c r="BX146" i="1"/>
  <c r="BZ144" i="1"/>
  <c r="BQ142" i="1"/>
  <c r="BR142" i="1" s="1"/>
  <c r="BO145" i="1"/>
  <c r="BP145" i="1" s="1"/>
  <c r="BK147" i="1"/>
  <c r="AR140" i="1"/>
  <c r="AQ141" i="1"/>
  <c r="AR141" i="1" s="1"/>
  <c r="AP142" i="1"/>
  <c r="AO142" i="1"/>
  <c r="BD142" i="1"/>
  <c r="AM143" i="1"/>
  <c r="AN143" i="1"/>
  <c r="BE142" i="1"/>
  <c r="BW147" i="1" l="1"/>
  <c r="BN147" i="1" a="1"/>
  <c r="BN147" i="1" s="1"/>
  <c r="BM147" i="1" a="1"/>
  <c r="BM147" i="1" s="1"/>
  <c r="BY147" i="1" s="1"/>
  <c r="BL148" i="1"/>
  <c r="BX147" i="1"/>
  <c r="BQ143" i="1"/>
  <c r="BR143" i="1" s="1"/>
  <c r="BZ145" i="1"/>
  <c r="BO146" i="1"/>
  <c r="BP146" i="1" s="1"/>
  <c r="BK148" i="1"/>
  <c r="BF141" i="1"/>
  <c r="AQ142" i="1"/>
  <c r="AR142" i="1" s="1"/>
  <c r="AP143" i="1"/>
  <c r="AO143" i="1"/>
  <c r="BD143" i="1"/>
  <c r="AM144" i="1"/>
  <c r="AN144" i="1"/>
  <c r="BE143" i="1"/>
  <c r="BW148" i="1" l="1"/>
  <c r="BN148" i="1" a="1"/>
  <c r="BN148" i="1" s="1"/>
  <c r="BM148" i="1" a="1"/>
  <c r="BM148" i="1" s="1"/>
  <c r="BY148" i="1" s="1"/>
  <c r="BL149" i="1"/>
  <c r="BX148" i="1"/>
  <c r="BZ146" i="1"/>
  <c r="BQ144" i="1"/>
  <c r="BR144" i="1" s="1"/>
  <c r="BO147" i="1"/>
  <c r="BP147" i="1" s="1"/>
  <c r="BK149" i="1"/>
  <c r="BF142" i="1"/>
  <c r="AP144" i="1"/>
  <c r="AO144" i="1"/>
  <c r="AQ143" i="1"/>
  <c r="BF143" i="1" s="1"/>
  <c r="BD144" i="1"/>
  <c r="AM145" i="1"/>
  <c r="AN145" i="1"/>
  <c r="BE144" i="1"/>
  <c r="BW149" i="1" l="1"/>
  <c r="BN149" i="1" a="1"/>
  <c r="BN149" i="1" s="1"/>
  <c r="BM149" i="1" a="1"/>
  <c r="BM149" i="1" s="1"/>
  <c r="BY149" i="1" s="1"/>
  <c r="BL150" i="1"/>
  <c r="BX149" i="1"/>
  <c r="BZ147" i="1"/>
  <c r="BQ145" i="1"/>
  <c r="BR145" i="1" s="1"/>
  <c r="BO148" i="1"/>
  <c r="BP148" i="1" s="1"/>
  <c r="BK150" i="1"/>
  <c r="AR143" i="1"/>
  <c r="AP145" i="1"/>
  <c r="AO145" i="1"/>
  <c r="AQ144" i="1"/>
  <c r="BF144" i="1" s="1"/>
  <c r="AN146" i="1"/>
  <c r="BE145" i="1"/>
  <c r="BD145" i="1"/>
  <c r="AM146" i="1"/>
  <c r="BW150" i="1" l="1"/>
  <c r="BN150" i="1" a="1"/>
  <c r="BN150" i="1" s="1"/>
  <c r="BM150" i="1" a="1"/>
  <c r="BM150" i="1" s="1"/>
  <c r="BY150" i="1" s="1"/>
  <c r="BL151" i="1"/>
  <c r="BX150" i="1"/>
  <c r="BZ148" i="1"/>
  <c r="BQ146" i="1"/>
  <c r="BR146" i="1" s="1"/>
  <c r="BO149" i="1"/>
  <c r="BP149" i="1" s="1"/>
  <c r="BK151" i="1"/>
  <c r="AR144" i="1"/>
  <c r="AQ145" i="1"/>
  <c r="AR145" i="1" s="1"/>
  <c r="AP146" i="1"/>
  <c r="AO146" i="1"/>
  <c r="BD146" i="1"/>
  <c r="AM147" i="1"/>
  <c r="AN147" i="1"/>
  <c r="BE146" i="1"/>
  <c r="BW151" i="1" l="1"/>
  <c r="BN151" i="1" a="1"/>
  <c r="BN151" i="1" s="1"/>
  <c r="BM151" i="1" a="1"/>
  <c r="BM151" i="1" s="1"/>
  <c r="BY151" i="1" s="1"/>
  <c r="BL152" i="1"/>
  <c r="BX151" i="1"/>
  <c r="BQ147" i="1"/>
  <c r="BR147" i="1" s="1"/>
  <c r="BZ149" i="1"/>
  <c r="BO150" i="1"/>
  <c r="BP150" i="1" s="1"/>
  <c r="BK152" i="1"/>
  <c r="BF145" i="1"/>
  <c r="AP147" i="1"/>
  <c r="AO147" i="1"/>
  <c r="AQ146" i="1"/>
  <c r="AR146" i="1" s="1"/>
  <c r="AN148" i="1"/>
  <c r="BE147" i="1"/>
  <c r="BD147" i="1"/>
  <c r="AM148" i="1"/>
  <c r="BW152" i="1" l="1"/>
  <c r="BN152" i="1" a="1"/>
  <c r="BN152" i="1" s="1"/>
  <c r="BM152" i="1" a="1"/>
  <c r="BM152" i="1" s="1"/>
  <c r="BY152" i="1" s="1"/>
  <c r="BL153" i="1"/>
  <c r="BX152" i="1"/>
  <c r="BZ150" i="1"/>
  <c r="BQ148" i="1"/>
  <c r="BR148" i="1" s="1"/>
  <c r="BO151" i="1"/>
  <c r="BP151" i="1" s="1"/>
  <c r="BK153" i="1"/>
  <c r="BF146" i="1"/>
  <c r="AQ147" i="1"/>
  <c r="BF147" i="1" s="1"/>
  <c r="AP148" i="1"/>
  <c r="AO148" i="1"/>
  <c r="BD148" i="1"/>
  <c r="AM149" i="1"/>
  <c r="AN149" i="1"/>
  <c r="BE148" i="1"/>
  <c r="BW153" i="1" l="1"/>
  <c r="BN153" i="1" a="1"/>
  <c r="BN153" i="1" s="1"/>
  <c r="BM153" i="1" a="1"/>
  <c r="BM153" i="1" s="1"/>
  <c r="BY153" i="1" s="1"/>
  <c r="BL154" i="1"/>
  <c r="BX153" i="1"/>
  <c r="BZ151" i="1"/>
  <c r="BQ149" i="1"/>
  <c r="BR149" i="1" s="1"/>
  <c r="BO152" i="1"/>
  <c r="BP152" i="1" s="1"/>
  <c r="BK154" i="1"/>
  <c r="AR147" i="1"/>
  <c r="AP149" i="1"/>
  <c r="AO149" i="1"/>
  <c r="AQ148" i="1"/>
  <c r="BF148" i="1" s="1"/>
  <c r="AN150" i="1"/>
  <c r="BE149" i="1"/>
  <c r="BD149" i="1"/>
  <c r="AM150" i="1"/>
  <c r="BW154" i="1" l="1"/>
  <c r="BN154" i="1" a="1"/>
  <c r="BN154" i="1" s="1"/>
  <c r="BM154" i="1" a="1"/>
  <c r="BM154" i="1" s="1"/>
  <c r="BY154" i="1" s="1"/>
  <c r="BL155" i="1"/>
  <c r="BX154" i="1"/>
  <c r="BZ152" i="1"/>
  <c r="BQ150" i="1"/>
  <c r="BR150" i="1" s="1"/>
  <c r="BO153" i="1"/>
  <c r="BP153" i="1" s="1"/>
  <c r="BK155" i="1"/>
  <c r="AR148" i="1"/>
  <c r="AP150" i="1"/>
  <c r="AO150" i="1"/>
  <c r="AQ149" i="1"/>
  <c r="BF149" i="1" s="1"/>
  <c r="BD150" i="1"/>
  <c r="AM151" i="1"/>
  <c r="AN151" i="1"/>
  <c r="BE150" i="1"/>
  <c r="BW155" i="1" l="1"/>
  <c r="BN155" i="1" a="1"/>
  <c r="BN155" i="1" s="1"/>
  <c r="BM155" i="1" a="1"/>
  <c r="BM155" i="1" s="1"/>
  <c r="BY155" i="1" s="1"/>
  <c r="BL156" i="1"/>
  <c r="BX155" i="1"/>
  <c r="BZ153" i="1"/>
  <c r="BQ151" i="1"/>
  <c r="BR151" i="1" s="1"/>
  <c r="BO154" i="1"/>
  <c r="BP154" i="1" s="1"/>
  <c r="BK156" i="1"/>
  <c r="AR149" i="1"/>
  <c r="AP151" i="1"/>
  <c r="AO151" i="1"/>
  <c r="AQ150" i="1"/>
  <c r="AR150" i="1" s="1"/>
  <c r="AN152" i="1"/>
  <c r="BE151" i="1"/>
  <c r="BD151" i="1"/>
  <c r="AM152" i="1"/>
  <c r="BW156" i="1" l="1"/>
  <c r="BN156" i="1" a="1"/>
  <c r="BN156" i="1" s="1"/>
  <c r="BM156" i="1" a="1"/>
  <c r="BM156" i="1" s="1"/>
  <c r="BY156" i="1" s="1"/>
  <c r="BL157" i="1"/>
  <c r="BX156" i="1"/>
  <c r="BQ152" i="1"/>
  <c r="BR152" i="1" s="1"/>
  <c r="BZ154" i="1"/>
  <c r="BO155" i="1"/>
  <c r="BP155" i="1" s="1"/>
  <c r="BK157" i="1"/>
  <c r="BF150" i="1"/>
  <c r="AP152" i="1"/>
  <c r="AO152" i="1"/>
  <c r="AQ151" i="1"/>
  <c r="BF151" i="1" s="1"/>
  <c r="BD152" i="1"/>
  <c r="AM153" i="1"/>
  <c r="AN153" i="1"/>
  <c r="BE152" i="1"/>
  <c r="BW157" i="1" l="1"/>
  <c r="BN157" i="1" a="1"/>
  <c r="BN157" i="1" s="1"/>
  <c r="BM157" i="1" a="1"/>
  <c r="BM157" i="1" s="1"/>
  <c r="BY157" i="1" s="1"/>
  <c r="BL158" i="1"/>
  <c r="BX157" i="1"/>
  <c r="BZ155" i="1"/>
  <c r="BQ153" i="1"/>
  <c r="BR153" i="1" s="1"/>
  <c r="BO156" i="1"/>
  <c r="BP156" i="1" s="1"/>
  <c r="BK158" i="1"/>
  <c r="AR151" i="1"/>
  <c r="AP153" i="1"/>
  <c r="AO153" i="1"/>
  <c r="AQ152" i="1"/>
  <c r="AR152" i="1" s="1"/>
  <c r="AN154" i="1"/>
  <c r="BE153" i="1"/>
  <c r="BD153" i="1"/>
  <c r="AM154" i="1"/>
  <c r="BW158" i="1" l="1"/>
  <c r="BN158" i="1" a="1"/>
  <c r="BN158" i="1" s="1"/>
  <c r="BM158" i="1" a="1"/>
  <c r="BM158" i="1" s="1"/>
  <c r="BY158" i="1" s="1"/>
  <c r="BL159" i="1"/>
  <c r="BX158" i="1"/>
  <c r="BQ154" i="1"/>
  <c r="BR154" i="1" s="1"/>
  <c r="BZ156" i="1"/>
  <c r="BO157" i="1"/>
  <c r="BP157" i="1" s="1"/>
  <c r="BK159" i="1"/>
  <c r="BF152" i="1"/>
  <c r="AP154" i="1"/>
  <c r="AO154" i="1"/>
  <c r="AQ153" i="1"/>
  <c r="BF153" i="1" s="1"/>
  <c r="BD154" i="1"/>
  <c r="AM155" i="1"/>
  <c r="AN155" i="1"/>
  <c r="BE154" i="1"/>
  <c r="BW159" i="1" l="1"/>
  <c r="BN159" i="1" a="1"/>
  <c r="BN159" i="1" s="1"/>
  <c r="BM159" i="1" a="1"/>
  <c r="BM159" i="1" s="1"/>
  <c r="BY159" i="1" s="1"/>
  <c r="BL160" i="1"/>
  <c r="BX159" i="1"/>
  <c r="BZ157" i="1"/>
  <c r="BQ155" i="1"/>
  <c r="BR155" i="1" s="1"/>
  <c r="BO158" i="1"/>
  <c r="BP158" i="1" s="1"/>
  <c r="BK160" i="1"/>
  <c r="AR153" i="1"/>
  <c r="AP155" i="1"/>
  <c r="AO155" i="1"/>
  <c r="AQ154" i="1"/>
  <c r="AR154" i="1" s="1"/>
  <c r="AN156" i="1"/>
  <c r="BE155" i="1"/>
  <c r="BD155" i="1"/>
  <c r="AM156" i="1"/>
  <c r="BQ156" i="1" l="1"/>
  <c r="BR156" i="1" s="1"/>
  <c r="BW160" i="1"/>
  <c r="BN160" i="1" a="1"/>
  <c r="BN160" i="1" s="1"/>
  <c r="BM160" i="1" a="1"/>
  <c r="BM160" i="1" s="1"/>
  <c r="BY160" i="1" s="1"/>
  <c r="BL161" i="1"/>
  <c r="BX160" i="1"/>
  <c r="BZ158" i="1"/>
  <c r="BO159" i="1"/>
  <c r="BP159" i="1" s="1"/>
  <c r="BK161" i="1"/>
  <c r="BF154" i="1"/>
  <c r="AP156" i="1"/>
  <c r="AO156" i="1"/>
  <c r="AQ155" i="1"/>
  <c r="AR155" i="1" s="1"/>
  <c r="BD156" i="1"/>
  <c r="AM157" i="1"/>
  <c r="AN157" i="1"/>
  <c r="BE156" i="1"/>
  <c r="BW161" i="1" l="1"/>
  <c r="BN161" i="1" a="1"/>
  <c r="BN161" i="1" s="1"/>
  <c r="BM161" i="1" a="1"/>
  <c r="BM161" i="1" s="1"/>
  <c r="BY161" i="1" s="1"/>
  <c r="BL162" i="1"/>
  <c r="BX161" i="1"/>
  <c r="BZ159" i="1"/>
  <c r="BQ157" i="1"/>
  <c r="BR157" i="1" s="1"/>
  <c r="BO160" i="1"/>
  <c r="BP160" i="1" s="1"/>
  <c r="BK162" i="1"/>
  <c r="BF155" i="1"/>
  <c r="AP157" i="1"/>
  <c r="AO157" i="1"/>
  <c r="AQ156" i="1"/>
  <c r="BF156" i="1" s="1"/>
  <c r="AN158" i="1"/>
  <c r="BE157" i="1"/>
  <c r="BD157" i="1"/>
  <c r="AM158" i="1"/>
  <c r="BQ158" i="1" l="1"/>
  <c r="BR158" i="1" s="1"/>
  <c r="BW162" i="1"/>
  <c r="BN162" i="1" a="1"/>
  <c r="BN162" i="1" s="1"/>
  <c r="BM162" i="1" a="1"/>
  <c r="BM162" i="1" s="1"/>
  <c r="BY162" i="1" s="1"/>
  <c r="BL163" i="1"/>
  <c r="BX162" i="1"/>
  <c r="BZ160" i="1"/>
  <c r="BO161" i="1"/>
  <c r="BP161" i="1" s="1"/>
  <c r="BK163" i="1"/>
  <c r="AR156" i="1"/>
  <c r="AP158" i="1"/>
  <c r="AO158" i="1"/>
  <c r="AQ157" i="1"/>
  <c r="AR157" i="1" s="1"/>
  <c r="BD158" i="1"/>
  <c r="AM159" i="1"/>
  <c r="AN159" i="1"/>
  <c r="BE158" i="1"/>
  <c r="BW163" i="1" l="1"/>
  <c r="BN163" i="1" a="1"/>
  <c r="BN163" i="1" s="1"/>
  <c r="BM163" i="1" a="1"/>
  <c r="BM163" i="1" s="1"/>
  <c r="BY163" i="1" s="1"/>
  <c r="BL164" i="1"/>
  <c r="BX163" i="1"/>
  <c r="BQ159" i="1"/>
  <c r="BR159" i="1" s="1"/>
  <c r="BZ161" i="1"/>
  <c r="BO162" i="1"/>
  <c r="BP162" i="1" s="1"/>
  <c r="BK164" i="1"/>
  <c r="BF157" i="1"/>
  <c r="AP159" i="1"/>
  <c r="AO159" i="1"/>
  <c r="AQ158" i="1"/>
  <c r="AR158" i="1" s="1"/>
  <c r="BD159" i="1"/>
  <c r="AM160" i="1"/>
  <c r="AN160" i="1"/>
  <c r="BE159" i="1"/>
  <c r="BW164" i="1" l="1"/>
  <c r="BN164" i="1" a="1"/>
  <c r="BN164" i="1" s="1"/>
  <c r="BM164" i="1" a="1"/>
  <c r="BM164" i="1" s="1"/>
  <c r="BY164" i="1" s="1"/>
  <c r="BL165" i="1"/>
  <c r="BX164" i="1"/>
  <c r="BZ162" i="1"/>
  <c r="BQ160" i="1"/>
  <c r="BR160" i="1" s="1"/>
  <c r="BO163" i="1"/>
  <c r="BP163" i="1" s="1"/>
  <c r="BK165" i="1"/>
  <c r="BF158" i="1"/>
  <c r="AP160" i="1"/>
  <c r="AO160" i="1"/>
  <c r="AQ159" i="1"/>
  <c r="AR159" i="1" s="1"/>
  <c r="AN161" i="1"/>
  <c r="BE160" i="1"/>
  <c r="BD160" i="1"/>
  <c r="AM161" i="1"/>
  <c r="BW165" i="1" l="1"/>
  <c r="BN165" i="1" a="1"/>
  <c r="BN165" i="1" s="1"/>
  <c r="BM165" i="1" a="1"/>
  <c r="BM165" i="1" s="1"/>
  <c r="BY165" i="1" s="1"/>
  <c r="BL166" i="1"/>
  <c r="BX165" i="1"/>
  <c r="BQ161" i="1"/>
  <c r="BR161" i="1" s="1"/>
  <c r="BZ163" i="1"/>
  <c r="BO164" i="1"/>
  <c r="BP164" i="1" s="1"/>
  <c r="BK166" i="1"/>
  <c r="BF159" i="1"/>
  <c r="AP161" i="1"/>
  <c r="AO161" i="1"/>
  <c r="AQ160" i="1"/>
  <c r="AR160" i="1" s="1"/>
  <c r="BD161" i="1"/>
  <c r="AM162" i="1"/>
  <c r="AN162" i="1"/>
  <c r="BE161" i="1"/>
  <c r="BW166" i="1" l="1"/>
  <c r="BN166" i="1" a="1"/>
  <c r="BN166" i="1" s="1"/>
  <c r="BM166" i="1" a="1"/>
  <c r="BM166" i="1" s="1"/>
  <c r="BY166" i="1" s="1"/>
  <c r="BL167" i="1"/>
  <c r="BX166" i="1"/>
  <c r="BZ164" i="1"/>
  <c r="BQ162" i="1"/>
  <c r="BR162" i="1" s="1"/>
  <c r="BO165" i="1"/>
  <c r="BP165" i="1" s="1"/>
  <c r="BK167" i="1"/>
  <c r="BF160" i="1"/>
  <c r="AP162" i="1"/>
  <c r="AO162" i="1"/>
  <c r="AQ161" i="1"/>
  <c r="AR161" i="1" s="1"/>
  <c r="AN163" i="1"/>
  <c r="BE162" i="1"/>
  <c r="BD162" i="1"/>
  <c r="AM163" i="1"/>
  <c r="BW167" i="1" l="1"/>
  <c r="BN167" i="1" a="1"/>
  <c r="BN167" i="1" s="1"/>
  <c r="BM167" i="1" a="1"/>
  <c r="BM167" i="1" s="1"/>
  <c r="BY167" i="1" s="1"/>
  <c r="BL168" i="1"/>
  <c r="BX167" i="1"/>
  <c r="BZ165" i="1"/>
  <c r="BQ163" i="1"/>
  <c r="BR163" i="1" s="1"/>
  <c r="BO166" i="1"/>
  <c r="BP166" i="1" s="1"/>
  <c r="BK168" i="1"/>
  <c r="BF161" i="1"/>
  <c r="AP163" i="1"/>
  <c r="AO163" i="1"/>
  <c r="AQ162" i="1"/>
  <c r="AR162" i="1" s="1"/>
  <c r="BD163" i="1"/>
  <c r="AM164" i="1"/>
  <c r="AN164" i="1"/>
  <c r="BE163" i="1"/>
  <c r="BW168" i="1" l="1"/>
  <c r="BN168" i="1" a="1"/>
  <c r="BN168" i="1" s="1"/>
  <c r="BM168" i="1" a="1"/>
  <c r="BM168" i="1" s="1"/>
  <c r="BY168" i="1" s="1"/>
  <c r="BL169" i="1"/>
  <c r="BX168" i="1"/>
  <c r="BQ164" i="1"/>
  <c r="BR164" i="1" s="1"/>
  <c r="BZ166" i="1"/>
  <c r="BO167" i="1"/>
  <c r="BP167" i="1" s="1"/>
  <c r="BK169" i="1"/>
  <c r="BF162" i="1"/>
  <c r="AP164" i="1"/>
  <c r="AO164" i="1"/>
  <c r="AQ163" i="1"/>
  <c r="AR163" i="1" s="1"/>
  <c r="BD164" i="1"/>
  <c r="AM165" i="1"/>
  <c r="AN165" i="1"/>
  <c r="BE164" i="1"/>
  <c r="BW169" i="1" l="1"/>
  <c r="BN169" i="1" a="1"/>
  <c r="BN169" i="1" s="1"/>
  <c r="BM169" i="1" a="1"/>
  <c r="BM169" i="1" s="1"/>
  <c r="BY169" i="1" s="1"/>
  <c r="BL170" i="1"/>
  <c r="BX169" i="1"/>
  <c r="BQ165" i="1"/>
  <c r="BR165" i="1" s="1"/>
  <c r="BZ167" i="1"/>
  <c r="BO168" i="1"/>
  <c r="BP168" i="1" s="1"/>
  <c r="BK170" i="1"/>
  <c r="BF163" i="1"/>
  <c r="AP165" i="1"/>
  <c r="AO165" i="1"/>
  <c r="AQ164" i="1"/>
  <c r="BF164" i="1" s="1"/>
  <c r="AN166" i="1"/>
  <c r="BE165" i="1"/>
  <c r="BD165" i="1"/>
  <c r="AM166" i="1"/>
  <c r="BW170" i="1" l="1"/>
  <c r="BN170" i="1" a="1"/>
  <c r="BN170" i="1" s="1"/>
  <c r="BM170" i="1" a="1"/>
  <c r="BM170" i="1" s="1"/>
  <c r="BY170" i="1" s="1"/>
  <c r="BL171" i="1"/>
  <c r="BX170" i="1"/>
  <c r="BQ166" i="1"/>
  <c r="BR166" i="1" s="1"/>
  <c r="BZ168" i="1"/>
  <c r="BO169" i="1"/>
  <c r="BP169" i="1" s="1"/>
  <c r="BK171" i="1"/>
  <c r="AR164" i="1"/>
  <c r="AP166" i="1"/>
  <c r="AO166" i="1"/>
  <c r="AQ165" i="1"/>
  <c r="AR165" i="1" s="1"/>
  <c r="BD166" i="1"/>
  <c r="AM167" i="1"/>
  <c r="AN167" i="1"/>
  <c r="BE166" i="1"/>
  <c r="BW171" i="1" l="1"/>
  <c r="BN171" i="1" a="1"/>
  <c r="BN171" i="1" s="1"/>
  <c r="BM171" i="1" a="1"/>
  <c r="BM171" i="1" s="1"/>
  <c r="BY171" i="1" s="1"/>
  <c r="BL172" i="1"/>
  <c r="BX171" i="1"/>
  <c r="BQ167" i="1"/>
  <c r="BR167" i="1" s="1"/>
  <c r="BZ169" i="1"/>
  <c r="BO170" i="1"/>
  <c r="BP170" i="1" s="1"/>
  <c r="BK172" i="1"/>
  <c r="BF165" i="1"/>
  <c r="AP167" i="1"/>
  <c r="AO167" i="1"/>
  <c r="AQ166" i="1"/>
  <c r="AR166" i="1" s="1"/>
  <c r="BD167" i="1"/>
  <c r="AM168" i="1"/>
  <c r="AN168" i="1"/>
  <c r="BE167" i="1"/>
  <c r="BW172" i="1" l="1"/>
  <c r="BN172" i="1" a="1"/>
  <c r="BN172" i="1" s="1"/>
  <c r="BM172" i="1" a="1"/>
  <c r="BM172" i="1" s="1"/>
  <c r="BY172" i="1" s="1"/>
  <c r="BL173" i="1"/>
  <c r="BX172" i="1"/>
  <c r="BZ170" i="1"/>
  <c r="BQ168" i="1"/>
  <c r="BR168" i="1" s="1"/>
  <c r="BO171" i="1"/>
  <c r="BP171" i="1" s="1"/>
  <c r="BK173" i="1"/>
  <c r="BF166" i="1"/>
  <c r="AP168" i="1"/>
  <c r="AO168" i="1"/>
  <c r="AQ167" i="1"/>
  <c r="AR167" i="1" s="1"/>
  <c r="BD168" i="1"/>
  <c r="AM169" i="1"/>
  <c r="AN169" i="1"/>
  <c r="BE168" i="1"/>
  <c r="BW173" i="1" l="1"/>
  <c r="BN173" i="1" a="1"/>
  <c r="BN173" i="1" s="1"/>
  <c r="BM173" i="1" a="1"/>
  <c r="BM173" i="1" s="1"/>
  <c r="BY173" i="1" s="1"/>
  <c r="BL174" i="1"/>
  <c r="BX173" i="1"/>
  <c r="BQ169" i="1"/>
  <c r="BR169" i="1" s="1"/>
  <c r="BZ171" i="1"/>
  <c r="BO172" i="1"/>
  <c r="BP172" i="1" s="1"/>
  <c r="BK174" i="1"/>
  <c r="BF167" i="1"/>
  <c r="AP169" i="1"/>
  <c r="AO169" i="1"/>
  <c r="AQ168" i="1"/>
  <c r="AR168" i="1" s="1"/>
  <c r="AN170" i="1"/>
  <c r="BE169" i="1"/>
  <c r="BD169" i="1"/>
  <c r="AM170" i="1"/>
  <c r="BW174" i="1" l="1"/>
  <c r="BN174" i="1" a="1"/>
  <c r="BN174" i="1" s="1"/>
  <c r="BM174" i="1" a="1"/>
  <c r="BM174" i="1" s="1"/>
  <c r="BY174" i="1" s="1"/>
  <c r="BL175" i="1"/>
  <c r="BX174" i="1"/>
  <c r="BZ172" i="1"/>
  <c r="BQ170" i="1"/>
  <c r="BR170" i="1" s="1"/>
  <c r="BO173" i="1"/>
  <c r="BP173" i="1" s="1"/>
  <c r="BK175" i="1"/>
  <c r="BF168" i="1"/>
  <c r="AP170" i="1"/>
  <c r="AO170" i="1"/>
  <c r="AQ169" i="1"/>
  <c r="BF169" i="1" s="1"/>
  <c r="BD170" i="1"/>
  <c r="AM171" i="1"/>
  <c r="AN171" i="1"/>
  <c r="BE170" i="1"/>
  <c r="BW175" i="1" l="1"/>
  <c r="BN175" i="1" a="1"/>
  <c r="BN175" i="1" s="1"/>
  <c r="BM175" i="1" a="1"/>
  <c r="BM175" i="1" s="1"/>
  <c r="BY175" i="1" s="1"/>
  <c r="BL176" i="1"/>
  <c r="BX175" i="1"/>
  <c r="BZ173" i="1"/>
  <c r="BQ171" i="1"/>
  <c r="BR171" i="1" s="1"/>
  <c r="BO174" i="1"/>
  <c r="BP174" i="1" s="1"/>
  <c r="BK176" i="1"/>
  <c r="AR169" i="1"/>
  <c r="AP171" i="1"/>
  <c r="AO171" i="1"/>
  <c r="AQ170" i="1"/>
  <c r="AR170" i="1" s="1"/>
  <c r="BD171" i="1"/>
  <c r="AM172" i="1"/>
  <c r="AN172" i="1"/>
  <c r="BE171" i="1"/>
  <c r="BW176" i="1" l="1"/>
  <c r="BN176" i="1" a="1"/>
  <c r="BN176" i="1" s="1"/>
  <c r="BM176" i="1" a="1"/>
  <c r="BM176" i="1" s="1"/>
  <c r="BY176" i="1" s="1"/>
  <c r="BL177" i="1"/>
  <c r="BX176" i="1"/>
  <c r="BZ174" i="1"/>
  <c r="BQ172" i="1"/>
  <c r="BR172" i="1" s="1"/>
  <c r="BO175" i="1"/>
  <c r="BP175" i="1" s="1"/>
  <c r="BK177" i="1"/>
  <c r="BF170" i="1"/>
  <c r="AQ171" i="1"/>
  <c r="AR171" i="1" s="1"/>
  <c r="AP172" i="1"/>
  <c r="AO172" i="1"/>
  <c r="AN173" i="1"/>
  <c r="BE172" i="1"/>
  <c r="BD172" i="1"/>
  <c r="AM173" i="1"/>
  <c r="BW177" i="1" l="1"/>
  <c r="BN177" i="1" a="1"/>
  <c r="BN177" i="1" s="1"/>
  <c r="BM177" i="1" a="1"/>
  <c r="BM177" i="1" s="1"/>
  <c r="BY177" i="1" s="1"/>
  <c r="BL178" i="1"/>
  <c r="BX177" i="1"/>
  <c r="BZ175" i="1"/>
  <c r="BQ173" i="1"/>
  <c r="BR173" i="1" s="1"/>
  <c r="BO176" i="1"/>
  <c r="BP176" i="1" s="1"/>
  <c r="BK178" i="1"/>
  <c r="BF171" i="1"/>
  <c r="AP173" i="1"/>
  <c r="AO173" i="1"/>
  <c r="AQ172" i="1"/>
  <c r="AR172" i="1" s="1"/>
  <c r="BD173" i="1"/>
  <c r="AM174" i="1"/>
  <c r="AN174" i="1"/>
  <c r="BE173" i="1"/>
  <c r="BW178" i="1" l="1"/>
  <c r="BN178" i="1" a="1"/>
  <c r="BN178" i="1" s="1"/>
  <c r="BM178" i="1" a="1"/>
  <c r="BM178" i="1" s="1"/>
  <c r="BY178" i="1" s="1"/>
  <c r="BL179" i="1"/>
  <c r="BX178" i="1"/>
  <c r="BZ176" i="1"/>
  <c r="BQ174" i="1"/>
  <c r="BR174" i="1" s="1"/>
  <c r="BO177" i="1"/>
  <c r="BP177" i="1" s="1"/>
  <c r="BK179" i="1"/>
  <c r="BF172" i="1"/>
  <c r="AP174" i="1"/>
  <c r="AO174" i="1"/>
  <c r="AQ173" i="1"/>
  <c r="BF173" i="1" s="1"/>
  <c r="AN175" i="1"/>
  <c r="BE174" i="1"/>
  <c r="BD174" i="1"/>
  <c r="AM175" i="1"/>
  <c r="BW179" i="1" l="1"/>
  <c r="BN179" i="1" a="1"/>
  <c r="BN179" i="1" s="1"/>
  <c r="BM179" i="1" a="1"/>
  <c r="BM179" i="1" s="1"/>
  <c r="BY179" i="1" s="1"/>
  <c r="BL180" i="1"/>
  <c r="BX179" i="1"/>
  <c r="BQ175" i="1"/>
  <c r="BR175" i="1" s="1"/>
  <c r="BZ177" i="1"/>
  <c r="BO178" i="1"/>
  <c r="BP178" i="1" s="1"/>
  <c r="BK180" i="1"/>
  <c r="AR173" i="1"/>
  <c r="AP175" i="1"/>
  <c r="AO175" i="1"/>
  <c r="AQ174" i="1"/>
  <c r="BF174" i="1" s="1"/>
  <c r="BD175" i="1"/>
  <c r="AM176" i="1"/>
  <c r="AN176" i="1"/>
  <c r="BE175" i="1"/>
  <c r="BW180" i="1" l="1"/>
  <c r="BN180" i="1" a="1"/>
  <c r="BN180" i="1" s="1"/>
  <c r="BM180" i="1" a="1"/>
  <c r="BM180" i="1" s="1"/>
  <c r="BY180" i="1" s="1"/>
  <c r="BL181" i="1"/>
  <c r="BX180" i="1"/>
  <c r="BQ176" i="1"/>
  <c r="BR176" i="1" s="1"/>
  <c r="BZ178" i="1"/>
  <c r="BO179" i="1"/>
  <c r="BP179" i="1" s="1"/>
  <c r="BK181" i="1"/>
  <c r="AR174" i="1"/>
  <c r="AQ175" i="1"/>
  <c r="AR175" i="1" s="1"/>
  <c r="AP176" i="1"/>
  <c r="AO176" i="1"/>
  <c r="AN177" i="1"/>
  <c r="BE176" i="1"/>
  <c r="BD176" i="1"/>
  <c r="AM177" i="1"/>
  <c r="BW181" i="1" l="1"/>
  <c r="BN181" i="1" a="1"/>
  <c r="BN181" i="1" s="1"/>
  <c r="BM181" i="1" a="1"/>
  <c r="BM181" i="1" s="1"/>
  <c r="BY181" i="1" s="1"/>
  <c r="BL182" i="1"/>
  <c r="BX181" i="1"/>
  <c r="BQ177" i="1"/>
  <c r="BR177" i="1" s="1"/>
  <c r="BZ179" i="1"/>
  <c r="BO180" i="1"/>
  <c r="BP180" i="1" s="1"/>
  <c r="BK182" i="1"/>
  <c r="BF175" i="1"/>
  <c r="AP177" i="1"/>
  <c r="AO177" i="1"/>
  <c r="AQ176" i="1"/>
  <c r="AR176" i="1" s="1"/>
  <c r="BD177" i="1"/>
  <c r="AM178" i="1"/>
  <c r="AN178" i="1"/>
  <c r="BE177" i="1"/>
  <c r="BW182" i="1" l="1"/>
  <c r="BN182" i="1" a="1"/>
  <c r="BN182" i="1" s="1"/>
  <c r="BM182" i="1" a="1"/>
  <c r="BM182" i="1" s="1"/>
  <c r="BY182" i="1" s="1"/>
  <c r="BL183" i="1"/>
  <c r="BX182" i="1"/>
  <c r="BQ178" i="1"/>
  <c r="BR178" i="1" s="1"/>
  <c r="BZ180" i="1"/>
  <c r="BO181" i="1"/>
  <c r="BP181" i="1" s="1"/>
  <c r="BK183" i="1"/>
  <c r="BF176" i="1"/>
  <c r="AP178" i="1"/>
  <c r="AO178" i="1"/>
  <c r="AQ177" i="1"/>
  <c r="BF177" i="1" s="1"/>
  <c r="AN179" i="1"/>
  <c r="BE178" i="1"/>
  <c r="BD178" i="1"/>
  <c r="AM179" i="1"/>
  <c r="BW183" i="1" l="1"/>
  <c r="BN183" i="1" a="1"/>
  <c r="BN183" i="1" s="1"/>
  <c r="BM183" i="1" a="1"/>
  <c r="BM183" i="1" s="1"/>
  <c r="BY183" i="1" s="1"/>
  <c r="BL184" i="1"/>
  <c r="BX183" i="1"/>
  <c r="BZ181" i="1"/>
  <c r="BQ179" i="1"/>
  <c r="BR179" i="1" s="1"/>
  <c r="BO182" i="1"/>
  <c r="BP182" i="1" s="1"/>
  <c r="BK184" i="1"/>
  <c r="AQ178" i="1"/>
  <c r="AR178" i="1" s="1"/>
  <c r="AR177" i="1"/>
  <c r="AP179" i="1"/>
  <c r="AO179" i="1"/>
  <c r="BD179" i="1"/>
  <c r="AM180" i="1"/>
  <c r="AN180" i="1"/>
  <c r="BE179" i="1"/>
  <c r="BW184" i="1" l="1"/>
  <c r="BN184" i="1" a="1"/>
  <c r="BN184" i="1" s="1"/>
  <c r="BM184" i="1" a="1"/>
  <c r="BM184" i="1" s="1"/>
  <c r="BY184" i="1" s="1"/>
  <c r="BL185" i="1"/>
  <c r="BX184" i="1"/>
  <c r="BQ180" i="1"/>
  <c r="BR180" i="1" s="1"/>
  <c r="BZ182" i="1"/>
  <c r="BO183" i="1"/>
  <c r="BP183" i="1" s="1"/>
  <c r="BK185" i="1"/>
  <c r="BF178" i="1"/>
  <c r="AP180" i="1"/>
  <c r="AO180" i="1"/>
  <c r="AQ179" i="1"/>
  <c r="BF179" i="1" s="1"/>
  <c r="AN181" i="1"/>
  <c r="BE180" i="1"/>
  <c r="BD180" i="1"/>
  <c r="AM181" i="1"/>
  <c r="BW185" i="1" l="1"/>
  <c r="BN185" i="1" a="1"/>
  <c r="BN185" i="1" s="1"/>
  <c r="BM185" i="1" a="1"/>
  <c r="BM185" i="1" s="1"/>
  <c r="BY185" i="1" s="1"/>
  <c r="BL186" i="1"/>
  <c r="BX185" i="1"/>
  <c r="BQ181" i="1"/>
  <c r="BR181" i="1" s="1"/>
  <c r="BZ183" i="1"/>
  <c r="BO184" i="1"/>
  <c r="BP184" i="1" s="1"/>
  <c r="BK186" i="1"/>
  <c r="AR179" i="1"/>
  <c r="AP181" i="1"/>
  <c r="AO181" i="1"/>
  <c r="AQ180" i="1"/>
  <c r="AR180" i="1" s="1"/>
  <c r="BD181" i="1"/>
  <c r="AM182" i="1"/>
  <c r="AN182" i="1"/>
  <c r="BE181" i="1"/>
  <c r="BW186" i="1" l="1"/>
  <c r="BN186" i="1" a="1"/>
  <c r="BN186" i="1" s="1"/>
  <c r="BM186" i="1" a="1"/>
  <c r="BM186" i="1" s="1"/>
  <c r="BY186" i="1" s="1"/>
  <c r="BL187" i="1"/>
  <c r="BX186" i="1"/>
  <c r="BQ182" i="1"/>
  <c r="BR182" i="1" s="1"/>
  <c r="BZ184" i="1"/>
  <c r="BO185" i="1"/>
  <c r="BP185" i="1" s="1"/>
  <c r="BK187" i="1"/>
  <c r="BF180" i="1"/>
  <c r="AP182" i="1"/>
  <c r="AO182" i="1"/>
  <c r="AQ181" i="1"/>
  <c r="BF181" i="1" s="1"/>
  <c r="BD182" i="1"/>
  <c r="AM183" i="1"/>
  <c r="AN183" i="1"/>
  <c r="BE182" i="1"/>
  <c r="BW187" i="1" l="1"/>
  <c r="BN187" i="1" a="1"/>
  <c r="BN187" i="1" s="1"/>
  <c r="BM187" i="1" a="1"/>
  <c r="BM187" i="1" s="1"/>
  <c r="BY187" i="1" s="1"/>
  <c r="BL188" i="1"/>
  <c r="BX187" i="1"/>
  <c r="BQ183" i="1"/>
  <c r="BR183" i="1" s="1"/>
  <c r="BZ185" i="1"/>
  <c r="BO186" i="1"/>
  <c r="BP186" i="1" s="1"/>
  <c r="BK188" i="1"/>
  <c r="AR181" i="1"/>
  <c r="AP183" i="1"/>
  <c r="AO183" i="1"/>
  <c r="AQ182" i="1"/>
  <c r="BF182" i="1" s="1"/>
  <c r="AN184" i="1"/>
  <c r="BE183" i="1"/>
  <c r="BD183" i="1"/>
  <c r="AM184" i="1"/>
  <c r="BW188" i="1" l="1"/>
  <c r="BN188" i="1" a="1"/>
  <c r="BN188" i="1" s="1"/>
  <c r="BM188" i="1" a="1"/>
  <c r="BM188" i="1" s="1"/>
  <c r="BY188" i="1" s="1"/>
  <c r="BL189" i="1"/>
  <c r="BX188" i="1"/>
  <c r="BQ184" i="1"/>
  <c r="BR184" i="1" s="1"/>
  <c r="BZ186" i="1"/>
  <c r="BO187" i="1"/>
  <c r="BP187" i="1" s="1"/>
  <c r="BK189" i="1"/>
  <c r="AR182" i="1"/>
  <c r="AP184" i="1"/>
  <c r="AO184" i="1"/>
  <c r="AQ183" i="1"/>
  <c r="BF183" i="1" s="1"/>
  <c r="BD184" i="1"/>
  <c r="AM185" i="1"/>
  <c r="AN185" i="1"/>
  <c r="BE184" i="1"/>
  <c r="BW189" i="1" l="1"/>
  <c r="BN189" i="1" a="1"/>
  <c r="BN189" i="1" s="1"/>
  <c r="BM189" i="1" a="1"/>
  <c r="BM189" i="1" s="1"/>
  <c r="BY189" i="1" s="1"/>
  <c r="BL190" i="1"/>
  <c r="BX189" i="1"/>
  <c r="BZ187" i="1"/>
  <c r="BQ185" i="1"/>
  <c r="BR185" i="1" s="1"/>
  <c r="BO188" i="1"/>
  <c r="BP188" i="1" s="1"/>
  <c r="BK190" i="1"/>
  <c r="AR183" i="1"/>
  <c r="AP185" i="1"/>
  <c r="AO185" i="1"/>
  <c r="AQ184" i="1"/>
  <c r="AR184" i="1" s="1"/>
  <c r="AN186" i="1"/>
  <c r="BE185" i="1"/>
  <c r="BD185" i="1"/>
  <c r="AM186" i="1"/>
  <c r="BW190" i="1" l="1"/>
  <c r="BN190" i="1" a="1"/>
  <c r="BN190" i="1" s="1"/>
  <c r="BM190" i="1" a="1"/>
  <c r="BM190" i="1" s="1"/>
  <c r="BY190" i="1" s="1"/>
  <c r="BL191" i="1"/>
  <c r="BX190" i="1"/>
  <c r="BZ188" i="1"/>
  <c r="BQ186" i="1"/>
  <c r="BR186" i="1" s="1"/>
  <c r="BO189" i="1"/>
  <c r="BP189" i="1" s="1"/>
  <c r="BK191" i="1"/>
  <c r="BF184" i="1"/>
  <c r="AP186" i="1"/>
  <c r="AO186" i="1"/>
  <c r="AQ185" i="1"/>
  <c r="BF185" i="1" s="1"/>
  <c r="BD186" i="1"/>
  <c r="AM187" i="1"/>
  <c r="AN187" i="1"/>
  <c r="BE186" i="1"/>
  <c r="BW191" i="1" l="1"/>
  <c r="BN191" i="1" a="1"/>
  <c r="BN191" i="1" s="1"/>
  <c r="BM191" i="1" a="1"/>
  <c r="BM191" i="1" s="1"/>
  <c r="BY191" i="1" s="1"/>
  <c r="BL192" i="1"/>
  <c r="BX191" i="1"/>
  <c r="BZ189" i="1"/>
  <c r="BQ187" i="1"/>
  <c r="BR187" i="1" s="1"/>
  <c r="BO190" i="1"/>
  <c r="BP190" i="1" s="1"/>
  <c r="BK192" i="1"/>
  <c r="AR185" i="1"/>
  <c r="AP187" i="1"/>
  <c r="AO187" i="1"/>
  <c r="AQ186" i="1"/>
  <c r="AR186" i="1" s="1"/>
  <c r="AN188" i="1"/>
  <c r="BE187" i="1"/>
  <c r="BD187" i="1"/>
  <c r="AM188" i="1"/>
  <c r="BW192" i="1" l="1"/>
  <c r="BN192" i="1" a="1"/>
  <c r="BN192" i="1" s="1"/>
  <c r="BM192" i="1" a="1"/>
  <c r="BM192" i="1" s="1"/>
  <c r="BY192" i="1" s="1"/>
  <c r="BL193" i="1"/>
  <c r="BX192" i="1"/>
  <c r="BZ190" i="1"/>
  <c r="BQ188" i="1"/>
  <c r="BR188" i="1" s="1"/>
  <c r="BO191" i="1"/>
  <c r="BP191" i="1" s="1"/>
  <c r="BK193" i="1"/>
  <c r="BF186" i="1"/>
  <c r="AQ187" i="1"/>
  <c r="AR187" i="1" s="1"/>
  <c r="AP188" i="1"/>
  <c r="AO188" i="1"/>
  <c r="BD188" i="1"/>
  <c r="AM189" i="1"/>
  <c r="AN189" i="1"/>
  <c r="BE188" i="1"/>
  <c r="BW193" i="1" l="1"/>
  <c r="BN193" i="1" a="1"/>
  <c r="BN193" i="1" s="1"/>
  <c r="BM193" i="1" a="1"/>
  <c r="BM193" i="1" s="1"/>
  <c r="BY193" i="1" s="1"/>
  <c r="BL194" i="1"/>
  <c r="BX193" i="1"/>
  <c r="BQ189" i="1"/>
  <c r="BR189" i="1" s="1"/>
  <c r="BZ191" i="1"/>
  <c r="BO192" i="1"/>
  <c r="BP192" i="1" s="1"/>
  <c r="BK194" i="1"/>
  <c r="BF187" i="1"/>
  <c r="AP189" i="1"/>
  <c r="AO189" i="1"/>
  <c r="AQ188" i="1"/>
  <c r="AR188" i="1" s="1"/>
  <c r="BD189" i="1"/>
  <c r="AM190" i="1"/>
  <c r="AN190" i="1"/>
  <c r="BE189" i="1"/>
  <c r="BW194" i="1" l="1"/>
  <c r="BN194" i="1" a="1"/>
  <c r="BN194" i="1" s="1"/>
  <c r="BM194" i="1" a="1"/>
  <c r="BM194" i="1" s="1"/>
  <c r="BY194" i="1" s="1"/>
  <c r="BL195" i="1"/>
  <c r="BX194" i="1"/>
  <c r="BZ192" i="1"/>
  <c r="BQ190" i="1"/>
  <c r="BR190" i="1" s="1"/>
  <c r="BO193" i="1"/>
  <c r="BP193" i="1" s="1"/>
  <c r="BK195" i="1"/>
  <c r="BF188" i="1"/>
  <c r="AP190" i="1"/>
  <c r="AO190" i="1"/>
  <c r="AQ189" i="1"/>
  <c r="BF189" i="1" s="1"/>
  <c r="BD190" i="1"/>
  <c r="AM191" i="1"/>
  <c r="AN191" i="1"/>
  <c r="BE190" i="1"/>
  <c r="BW195" i="1" l="1"/>
  <c r="BN195" i="1" a="1"/>
  <c r="BN195" i="1" s="1"/>
  <c r="BM195" i="1" a="1"/>
  <c r="BM195" i="1" s="1"/>
  <c r="BY195" i="1" s="1"/>
  <c r="BL196" i="1"/>
  <c r="BX195" i="1"/>
  <c r="BZ193" i="1"/>
  <c r="BQ191" i="1"/>
  <c r="BR191" i="1" s="1"/>
  <c r="BO194" i="1"/>
  <c r="BP194" i="1" s="1"/>
  <c r="BK196" i="1"/>
  <c r="AR189" i="1"/>
  <c r="AQ190" i="1"/>
  <c r="AR190" i="1" s="1"/>
  <c r="AP191" i="1"/>
  <c r="AO191" i="1"/>
  <c r="AN192" i="1"/>
  <c r="BE191" i="1"/>
  <c r="BD191" i="1"/>
  <c r="AM192" i="1"/>
  <c r="BW196" i="1" l="1"/>
  <c r="BN196" i="1" a="1"/>
  <c r="BN196" i="1" s="1"/>
  <c r="BM196" i="1" a="1"/>
  <c r="BM196" i="1" s="1"/>
  <c r="BY196" i="1" s="1"/>
  <c r="BL197" i="1"/>
  <c r="BX196" i="1"/>
  <c r="BZ194" i="1"/>
  <c r="BQ192" i="1"/>
  <c r="BR192" i="1" s="1"/>
  <c r="BO195" i="1"/>
  <c r="BP195" i="1" s="1"/>
  <c r="BK197" i="1"/>
  <c r="BF190" i="1"/>
  <c r="AP192" i="1"/>
  <c r="AO192" i="1"/>
  <c r="AQ191" i="1"/>
  <c r="AR191" i="1" s="1"/>
  <c r="BD192" i="1"/>
  <c r="AM193" i="1"/>
  <c r="AN193" i="1"/>
  <c r="BE192" i="1"/>
  <c r="BW197" i="1" l="1"/>
  <c r="BN197" i="1" a="1"/>
  <c r="BN197" i="1" s="1"/>
  <c r="BM197" i="1" a="1"/>
  <c r="BM197" i="1" s="1"/>
  <c r="BY197" i="1" s="1"/>
  <c r="BL198" i="1"/>
  <c r="BX197" i="1"/>
  <c r="BZ195" i="1"/>
  <c r="BQ193" i="1"/>
  <c r="BR193" i="1" s="1"/>
  <c r="BO196" i="1"/>
  <c r="BP196" i="1" s="1"/>
  <c r="BK198" i="1"/>
  <c r="BF191" i="1"/>
  <c r="AP193" i="1"/>
  <c r="AO193" i="1"/>
  <c r="AQ192" i="1"/>
  <c r="AR192" i="1" s="1"/>
  <c r="AN194" i="1"/>
  <c r="BE193" i="1"/>
  <c r="BD193" i="1"/>
  <c r="AM194" i="1"/>
  <c r="BW198" i="1" l="1"/>
  <c r="BN198" i="1" a="1"/>
  <c r="BN198" i="1" s="1"/>
  <c r="BM198" i="1" a="1"/>
  <c r="BM198" i="1" s="1"/>
  <c r="BY198" i="1" s="1"/>
  <c r="BL199" i="1"/>
  <c r="BX198" i="1"/>
  <c r="BQ194" i="1"/>
  <c r="BR194" i="1" s="1"/>
  <c r="BZ196" i="1"/>
  <c r="BO197" i="1"/>
  <c r="BP197" i="1" s="1"/>
  <c r="BK199" i="1"/>
  <c r="BF192" i="1"/>
  <c r="AP194" i="1"/>
  <c r="AO194" i="1"/>
  <c r="AQ193" i="1"/>
  <c r="AR193" i="1" s="1"/>
  <c r="BD194" i="1"/>
  <c r="AM195" i="1"/>
  <c r="AN195" i="1"/>
  <c r="BE194" i="1"/>
  <c r="BW199" i="1" l="1"/>
  <c r="BN199" i="1" a="1"/>
  <c r="BN199" i="1" s="1"/>
  <c r="BM199" i="1" a="1"/>
  <c r="BM199" i="1" s="1"/>
  <c r="BY199" i="1" s="1"/>
  <c r="BL200" i="1"/>
  <c r="BX199" i="1"/>
  <c r="BZ197" i="1"/>
  <c r="BQ195" i="1"/>
  <c r="BR195" i="1" s="1"/>
  <c r="BO198" i="1"/>
  <c r="BP198" i="1" s="1"/>
  <c r="BK200" i="1"/>
  <c r="BF193" i="1"/>
  <c r="AQ194" i="1"/>
  <c r="AR194" i="1" s="1"/>
  <c r="AP195" i="1"/>
  <c r="AO195" i="1"/>
  <c r="AN196" i="1"/>
  <c r="BE195" i="1"/>
  <c r="BD195" i="1"/>
  <c r="AM196" i="1"/>
  <c r="BW200" i="1" l="1"/>
  <c r="BN200" i="1" a="1"/>
  <c r="BN200" i="1" s="1"/>
  <c r="BM200" i="1" a="1"/>
  <c r="BM200" i="1" s="1"/>
  <c r="BY200" i="1" s="1"/>
  <c r="BL201" i="1"/>
  <c r="BX200" i="1"/>
  <c r="BZ198" i="1"/>
  <c r="BQ196" i="1"/>
  <c r="BR196" i="1" s="1"/>
  <c r="BO199" i="1"/>
  <c r="BP199" i="1" s="1"/>
  <c r="BK201" i="1"/>
  <c r="BF194" i="1"/>
  <c r="AP196" i="1"/>
  <c r="AO196" i="1"/>
  <c r="AQ195" i="1"/>
  <c r="AR195" i="1" s="1"/>
  <c r="BD196" i="1"/>
  <c r="AM197" i="1"/>
  <c r="AN197" i="1"/>
  <c r="BE196" i="1"/>
  <c r="BW201" i="1" l="1"/>
  <c r="BN201" i="1" a="1"/>
  <c r="BN201" i="1" s="1"/>
  <c r="BM201" i="1" a="1"/>
  <c r="BM201" i="1" s="1"/>
  <c r="BY201" i="1" s="1"/>
  <c r="BL202" i="1"/>
  <c r="BX201" i="1"/>
  <c r="BZ199" i="1"/>
  <c r="BQ197" i="1"/>
  <c r="BR197" i="1" s="1"/>
  <c r="BO200" i="1"/>
  <c r="BP200" i="1" s="1"/>
  <c r="BK202" i="1"/>
  <c r="BF195" i="1"/>
  <c r="AP197" i="1"/>
  <c r="AO197" i="1"/>
  <c r="AQ196" i="1"/>
  <c r="AR196" i="1" s="1"/>
  <c r="AN198" i="1"/>
  <c r="BE197" i="1"/>
  <c r="BD197" i="1"/>
  <c r="AM198" i="1"/>
  <c r="BW202" i="1" l="1"/>
  <c r="BN202" i="1" a="1"/>
  <c r="BN202" i="1" s="1"/>
  <c r="BM202" i="1" a="1"/>
  <c r="BM202" i="1" s="1"/>
  <c r="BY202" i="1" s="1"/>
  <c r="BL203" i="1"/>
  <c r="BX202" i="1"/>
  <c r="BQ198" i="1"/>
  <c r="BR198" i="1" s="1"/>
  <c r="BZ200" i="1"/>
  <c r="BO201" i="1"/>
  <c r="BP201" i="1" s="1"/>
  <c r="BK203" i="1"/>
  <c r="BF196" i="1"/>
  <c r="AQ197" i="1"/>
  <c r="AR197" i="1" s="1"/>
  <c r="AP198" i="1"/>
  <c r="AO198" i="1"/>
  <c r="BD198" i="1"/>
  <c r="AM199" i="1"/>
  <c r="AN199" i="1"/>
  <c r="BE198" i="1"/>
  <c r="BW203" i="1" l="1"/>
  <c r="BN203" i="1" a="1"/>
  <c r="BN203" i="1" s="1"/>
  <c r="BM203" i="1" a="1"/>
  <c r="BM203" i="1" s="1"/>
  <c r="BY203" i="1" s="1"/>
  <c r="BL204" i="1"/>
  <c r="BX203" i="1"/>
  <c r="BQ199" i="1"/>
  <c r="BR199" i="1" s="1"/>
  <c r="BZ201" i="1"/>
  <c r="BO202" i="1"/>
  <c r="BP202" i="1" s="1"/>
  <c r="BK204" i="1"/>
  <c r="BF197" i="1"/>
  <c r="AQ198" i="1"/>
  <c r="AR198" i="1" s="1"/>
  <c r="AP199" i="1"/>
  <c r="AO199" i="1"/>
  <c r="BD199" i="1"/>
  <c r="AM200" i="1"/>
  <c r="AN200" i="1"/>
  <c r="BE199" i="1"/>
  <c r="BW204" i="1" l="1"/>
  <c r="BN204" i="1" a="1"/>
  <c r="BN204" i="1" s="1"/>
  <c r="BM204" i="1" a="1"/>
  <c r="BM204" i="1" s="1"/>
  <c r="BY204" i="1" s="1"/>
  <c r="BL205" i="1"/>
  <c r="BX204" i="1"/>
  <c r="BQ200" i="1"/>
  <c r="BR200" i="1" s="1"/>
  <c r="BZ202" i="1"/>
  <c r="BO203" i="1"/>
  <c r="BP203" i="1" s="1"/>
  <c r="BK205" i="1"/>
  <c r="BF198" i="1"/>
  <c r="AP200" i="1"/>
  <c r="AO200" i="1"/>
  <c r="AQ199" i="1"/>
  <c r="AR199" i="1" s="1"/>
  <c r="BD200" i="1"/>
  <c r="AM201" i="1"/>
  <c r="AN201" i="1"/>
  <c r="BE200" i="1"/>
  <c r="BW205" i="1" l="1"/>
  <c r="BN205" i="1" a="1"/>
  <c r="BN205" i="1" s="1"/>
  <c r="BM205" i="1" a="1"/>
  <c r="BM205" i="1" s="1"/>
  <c r="BY205" i="1" s="1"/>
  <c r="BL206" i="1"/>
  <c r="BX206" i="1" s="1"/>
  <c r="BX205" i="1"/>
  <c r="BZ203" i="1"/>
  <c r="BQ201" i="1"/>
  <c r="BR201" i="1" s="1"/>
  <c r="BO204" i="1"/>
  <c r="BP204" i="1" s="1"/>
  <c r="BK206" i="1"/>
  <c r="BF199" i="1"/>
  <c r="AQ200" i="1"/>
  <c r="AR200" i="1" s="1"/>
  <c r="AP201" i="1"/>
  <c r="AO201" i="1"/>
  <c r="BD201" i="1"/>
  <c r="AM202" i="1"/>
  <c r="AN202" i="1"/>
  <c r="BE201" i="1"/>
  <c r="BW206" i="1" l="1"/>
  <c r="BN206" i="1" a="1"/>
  <c r="BN206" i="1" s="1"/>
  <c r="BM206" i="1" a="1"/>
  <c r="BM206" i="1" s="1"/>
  <c r="BY206" i="1" s="1"/>
  <c r="BZ204" i="1"/>
  <c r="BQ202" i="1"/>
  <c r="BR202" i="1" s="1"/>
  <c r="BO205" i="1"/>
  <c r="BP205" i="1" s="1"/>
  <c r="BF200" i="1"/>
  <c r="AP202" i="1"/>
  <c r="AO202" i="1"/>
  <c r="AQ201" i="1"/>
  <c r="BF201" i="1" s="1"/>
  <c r="AN203" i="1"/>
  <c r="BE202" i="1"/>
  <c r="BD202" i="1"/>
  <c r="AM203" i="1"/>
  <c r="CE101" i="1"/>
  <c r="BQ203" i="1" l="1"/>
  <c r="BR203" i="1" s="1"/>
  <c r="BZ205" i="1"/>
  <c r="BO206" i="1"/>
  <c r="BP206" i="1" s="1"/>
  <c r="AR201" i="1"/>
  <c r="AP203" i="1"/>
  <c r="AO203" i="1"/>
  <c r="AQ202" i="1"/>
  <c r="AR202" i="1" s="1"/>
  <c r="AN204" i="1"/>
  <c r="BE203" i="1"/>
  <c r="BD203" i="1"/>
  <c r="AM204" i="1"/>
  <c r="BO208" i="1" l="1"/>
  <c r="BQ204" i="1"/>
  <c r="BR204" i="1" s="1"/>
  <c r="BO210" i="1" a="1"/>
  <c r="BO210" i="1" s="1"/>
  <c r="BO209" i="1" a="1"/>
  <c r="BO209" i="1" s="1"/>
  <c r="BZ206" i="1"/>
  <c r="BR206" i="1"/>
  <c r="BQ205" i="1"/>
  <c r="BF202" i="1"/>
  <c r="AP204" i="1"/>
  <c r="AO204" i="1"/>
  <c r="AQ203" i="1"/>
  <c r="BF203" i="1" s="1"/>
  <c r="BD204" i="1"/>
  <c r="AM205" i="1"/>
  <c r="AN205" i="1"/>
  <c r="BE204" i="1"/>
  <c r="BR205" i="1" l="1"/>
  <c r="BR208" i="1" s="1"/>
  <c r="AR203" i="1"/>
  <c r="AP205" i="1"/>
  <c r="AO205" i="1"/>
  <c r="AQ204" i="1"/>
  <c r="AR204" i="1" s="1"/>
  <c r="AN206" i="1"/>
  <c r="BE205" i="1"/>
  <c r="BD205" i="1"/>
  <c r="AM206" i="1"/>
  <c r="BQ104" i="1" l="1"/>
  <c r="BS204" i="1" s="1"/>
  <c r="CA204" i="1" s="1"/>
  <c r="BE206" i="1"/>
  <c r="BR209" i="1"/>
  <c r="BR210" i="1" s="1"/>
  <c r="BF204" i="1"/>
  <c r="AP206" i="1"/>
  <c r="AO206" i="1"/>
  <c r="AQ205" i="1"/>
  <c r="BF205" i="1" s="1"/>
  <c r="BD206" i="1"/>
  <c r="BP101" i="1"/>
  <c r="BS125" i="1" l="1"/>
  <c r="CA125" i="1" s="1"/>
  <c r="BS142" i="1"/>
  <c r="CA142" i="1" s="1"/>
  <c r="BS136" i="1"/>
  <c r="CA136" i="1" s="1"/>
  <c r="BS109" i="1"/>
  <c r="CA109" i="1" s="1"/>
  <c r="BS111" i="1"/>
  <c r="CA111" i="1" s="1"/>
  <c r="BS157" i="1"/>
  <c r="CA157" i="1" s="1"/>
  <c r="BS112" i="1"/>
  <c r="CA112" i="1" s="1"/>
  <c r="BS165" i="1"/>
  <c r="CA165" i="1" s="1"/>
  <c r="BS121" i="1"/>
  <c r="CA121" i="1" s="1"/>
  <c r="BS178" i="1"/>
  <c r="CA178" i="1" s="1"/>
  <c r="BS131" i="1"/>
  <c r="CA131" i="1" s="1"/>
  <c r="BS173" i="1"/>
  <c r="CA173" i="1" s="1"/>
  <c r="BS150" i="1"/>
  <c r="CA150" i="1" s="1"/>
  <c r="BS118" i="1"/>
  <c r="CA118" i="1" s="1"/>
  <c r="BS159" i="1"/>
  <c r="CA159" i="1" s="1"/>
  <c r="BS166" i="1"/>
  <c r="CA166" i="1" s="1"/>
  <c r="BS122" i="1"/>
  <c r="CA122" i="1" s="1"/>
  <c r="BS120" i="1"/>
  <c r="CA120" i="1" s="1"/>
  <c r="BS108" i="1"/>
  <c r="CA108" i="1" s="1"/>
  <c r="BS128" i="1"/>
  <c r="CA128" i="1" s="1"/>
  <c r="BS106" i="1"/>
  <c r="CA106" i="1" s="1"/>
  <c r="BS114" i="1"/>
  <c r="CA114" i="1" s="1"/>
  <c r="BS184" i="1"/>
  <c r="CA184" i="1" s="1"/>
  <c r="BS135" i="1"/>
  <c r="CA135" i="1" s="1"/>
  <c r="BS144" i="1"/>
  <c r="CA144" i="1" s="1"/>
  <c r="BS189" i="1"/>
  <c r="CA189" i="1" s="1"/>
  <c r="BS151" i="1"/>
  <c r="CA151" i="1" s="1"/>
  <c r="BS129" i="1"/>
  <c r="CA129" i="1" s="1"/>
  <c r="BS117" i="1"/>
  <c r="CA117" i="1" s="1"/>
  <c r="BS163" i="1"/>
  <c r="CA163" i="1" s="1"/>
  <c r="BS195" i="1"/>
  <c r="CA195" i="1" s="1"/>
  <c r="BS206" i="1"/>
  <c r="CA206" i="1" s="1"/>
  <c r="BS200" i="1"/>
  <c r="CA200" i="1" s="1"/>
  <c r="BS119" i="1"/>
  <c r="CA119" i="1" s="1"/>
  <c r="BS152" i="1"/>
  <c r="CA152" i="1" s="1"/>
  <c r="BS138" i="1"/>
  <c r="CA138" i="1" s="1"/>
  <c r="BS110" i="1"/>
  <c r="CA110" i="1" s="1"/>
  <c r="BS127" i="1"/>
  <c r="CA127" i="1" s="1"/>
  <c r="BS156" i="1"/>
  <c r="CA156" i="1" s="1"/>
  <c r="BS148" i="1"/>
  <c r="CA148" i="1" s="1"/>
  <c r="BS134" i="1"/>
  <c r="CA134" i="1" s="1"/>
  <c r="BS133" i="1"/>
  <c r="CA133" i="1" s="1"/>
  <c r="BS113" i="1"/>
  <c r="CA113" i="1" s="1"/>
  <c r="BS170" i="1"/>
  <c r="CA170" i="1" s="1"/>
  <c r="BS147" i="1"/>
  <c r="CA147" i="1" s="1"/>
  <c r="BS188" i="1"/>
  <c r="CA188" i="1" s="1"/>
  <c r="BS180" i="1"/>
  <c r="CA180" i="1" s="1"/>
  <c r="BS175" i="1"/>
  <c r="CA175" i="1" s="1"/>
  <c r="BS132" i="1"/>
  <c r="CA132" i="1" s="1"/>
  <c r="BS143" i="1"/>
  <c r="CA143" i="1" s="1"/>
  <c r="BS115" i="1"/>
  <c r="CA115" i="1" s="1"/>
  <c r="BS153" i="1"/>
  <c r="CA153" i="1" s="1"/>
  <c r="BS140" i="1"/>
  <c r="CA140" i="1" s="1"/>
  <c r="BS149" i="1"/>
  <c r="CA149" i="1" s="1"/>
  <c r="BS182" i="1"/>
  <c r="CA182" i="1" s="1"/>
  <c r="BS183" i="1"/>
  <c r="CA183" i="1" s="1"/>
  <c r="BS203" i="1"/>
  <c r="CA203" i="1" s="1"/>
  <c r="BS196" i="1"/>
  <c r="CA196" i="1" s="1"/>
  <c r="BS179" i="1"/>
  <c r="CA179" i="1" s="1"/>
  <c r="BS193" i="1"/>
  <c r="CA193" i="1" s="1"/>
  <c r="BS161" i="1"/>
  <c r="CA161" i="1" s="1"/>
  <c r="BS187" i="1"/>
  <c r="CA187" i="1" s="1"/>
  <c r="BS130" i="1"/>
  <c r="CA130" i="1" s="1"/>
  <c r="BS145" i="1"/>
  <c r="CA145" i="1" s="1"/>
  <c r="BS176" i="1"/>
  <c r="CA176" i="1" s="1"/>
  <c r="BS107" i="1"/>
  <c r="CA107" i="1" s="1"/>
  <c r="BS169" i="1"/>
  <c r="CA169" i="1" s="1"/>
  <c r="BS205" i="1"/>
  <c r="CA205" i="1" s="1"/>
  <c r="BS160" i="1"/>
  <c r="CA160" i="1" s="1"/>
  <c r="BS168" i="1"/>
  <c r="CA168" i="1" s="1"/>
  <c r="BS146" i="1"/>
  <c r="CA146" i="1" s="1"/>
  <c r="BS199" i="1"/>
  <c r="CA199" i="1" s="1"/>
  <c r="BS116" i="1"/>
  <c r="CA116" i="1" s="1"/>
  <c r="BS137" i="1"/>
  <c r="CA137" i="1" s="1"/>
  <c r="BS198" i="1"/>
  <c r="CA198" i="1" s="1"/>
  <c r="BS141" i="1"/>
  <c r="CA141" i="1" s="1"/>
  <c r="BS194" i="1"/>
  <c r="CA194" i="1" s="1"/>
  <c r="BS139" i="1"/>
  <c r="CA139" i="1" s="1"/>
  <c r="BS201" i="1"/>
  <c r="CA201" i="1" s="1"/>
  <c r="BS191" i="1"/>
  <c r="CA191" i="1" s="1"/>
  <c r="BS177" i="1"/>
  <c r="CA177" i="1" s="1"/>
  <c r="BS174" i="1"/>
  <c r="CA174" i="1" s="1"/>
  <c r="BS164" i="1"/>
  <c r="CA164" i="1" s="1"/>
  <c r="BS154" i="1"/>
  <c r="CA154" i="1" s="1"/>
  <c r="BS192" i="1"/>
  <c r="CA192" i="1" s="1"/>
  <c r="BS158" i="1"/>
  <c r="CA158" i="1" s="1"/>
  <c r="BS162" i="1"/>
  <c r="CA162" i="1" s="1"/>
  <c r="BS181" i="1"/>
  <c r="CA181" i="1" s="1"/>
  <c r="BS123" i="1"/>
  <c r="CA123" i="1" s="1"/>
  <c r="BS126" i="1"/>
  <c r="CA126" i="1" s="1"/>
  <c r="BS124" i="1"/>
  <c r="CA124" i="1" s="1"/>
  <c r="BS197" i="1"/>
  <c r="CA197" i="1" s="1"/>
  <c r="BS155" i="1"/>
  <c r="CA155" i="1" s="1"/>
  <c r="BS167" i="1"/>
  <c r="CA167" i="1" s="1"/>
  <c r="BS185" i="1"/>
  <c r="CA185" i="1" s="1"/>
  <c r="BS190" i="1"/>
  <c r="CA190" i="1" s="1"/>
  <c r="BS171" i="1"/>
  <c r="CA171" i="1" s="1"/>
  <c r="BS172" i="1"/>
  <c r="CA172" i="1" s="1"/>
  <c r="BS202" i="1"/>
  <c r="CA202" i="1" s="1"/>
  <c r="BS186" i="1"/>
  <c r="CA186" i="1" s="1"/>
  <c r="AR205" i="1"/>
  <c r="AQ206" i="1"/>
  <c r="AR206" i="1" s="1"/>
  <c r="AS100" i="1"/>
  <c r="CA104" i="1" l="1"/>
  <c r="CA103" i="1" s="1"/>
  <c r="BS208" i="1"/>
  <c r="R23" i="1" s="1"/>
  <c r="BS209" i="1"/>
  <c r="R24" i="1" s="1"/>
  <c r="BF206" i="1"/>
  <c r="AR208" i="1"/>
  <c r="AR209" i="1" a="1"/>
  <c r="AR209" i="1" s="1"/>
  <c r="AR210" i="1" a="1"/>
  <c r="AR210" i="1" s="1"/>
  <c r="BS210" i="1" l="1"/>
  <c r="BR102" i="1" a="1"/>
  <c r="BR103" i="1" a="1"/>
  <c r="BR101" i="1" a="1"/>
  <c r="BR102" i="1" l="1"/>
  <c r="BR101" i="1"/>
  <c r="BR103" i="1"/>
  <c r="D77" i="1" l="1"/>
  <c r="I104" i="1" s="1"/>
  <c r="J104" i="1" s="1"/>
  <c r="D72" i="1" l="1"/>
  <c r="D73" i="1" s="1"/>
  <c r="G73" i="1" s="1"/>
  <c r="Z108" i="1" s="1" a="1"/>
  <c r="Z108" i="1" s="1"/>
  <c r="D78" i="1"/>
  <c r="D79" i="1" s="1"/>
  <c r="D71" i="1"/>
  <c r="D74" i="1"/>
  <c r="AT210" i="1"/>
  <c r="AT208" i="1"/>
  <c r="AT209" i="1"/>
  <c r="D36" i="1"/>
  <c r="D88" i="1" l="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AA110" i="1" a="1"/>
  <c r="AA110" i="1" s="1"/>
  <c r="AA121" i="1" s="1"/>
  <c r="AJ110" i="1" a="1"/>
  <c r="AJ110" i="1" s="1"/>
  <c r="AJ121" i="1" s="1"/>
  <c r="Z110" i="1" a="1"/>
  <c r="Z110" i="1" s="1"/>
  <c r="AH110" i="1" a="1"/>
  <c r="AH110" i="1" s="1"/>
  <c r="AH121" i="1" s="1"/>
  <c r="AF110" i="1" a="1"/>
  <c r="AF110" i="1" s="1"/>
  <c r="AF121" i="1" s="1"/>
  <c r="AE110" i="1" a="1"/>
  <c r="AE110" i="1" s="1"/>
  <c r="AE121" i="1" s="1"/>
  <c r="AD110" i="1" a="1"/>
  <c r="AD110" i="1" s="1"/>
  <c r="AD121" i="1" s="1"/>
  <c r="AC110" i="1" a="1"/>
  <c r="AC110" i="1" s="1"/>
  <c r="AC121" i="1" s="1"/>
  <c r="AB110" i="1" a="1"/>
  <c r="AB110" i="1" s="1"/>
  <c r="AB121" i="1" s="1"/>
  <c r="AI110" i="1" a="1"/>
  <c r="AI110" i="1" s="1"/>
  <c r="AI121" i="1" s="1"/>
  <c r="AG110" i="1" a="1"/>
  <c r="AG110" i="1" s="1"/>
  <c r="AG121" i="1" s="1"/>
  <c r="Z109" i="1" a="1"/>
  <c r="Z109" i="1" s="1"/>
  <c r="Z120" i="1" s="1"/>
  <c r="AJ109" i="1" a="1"/>
  <c r="AJ109" i="1" s="1"/>
  <c r="AJ120" i="1" s="1"/>
  <c r="AB111" i="1" a="1"/>
  <c r="AB111" i="1" s="1"/>
  <c r="AB122" i="1" s="1"/>
  <c r="AD108" i="1" a="1"/>
  <c r="AD108" i="1" s="1"/>
  <c r="AD119" i="1" s="1"/>
  <c r="AC111" i="1" a="1"/>
  <c r="AC111" i="1" s="1"/>
  <c r="AC122" i="1" s="1"/>
  <c r="AF108" i="1" a="1"/>
  <c r="AF108" i="1" s="1"/>
  <c r="AF119" i="1" s="1"/>
  <c r="Z111" i="1" a="1"/>
  <c r="Z111" i="1" s="1"/>
  <c r="Z122" i="1" s="1"/>
  <c r="AD111" i="1" a="1"/>
  <c r="AD111" i="1" s="1"/>
  <c r="AD122" i="1" s="1"/>
  <c r="AA109" i="1" a="1"/>
  <c r="AA109" i="1" s="1"/>
  <c r="AA120" i="1" s="1"/>
  <c r="AE111" i="1" a="1"/>
  <c r="AE111" i="1" s="1"/>
  <c r="AE122" i="1" s="1"/>
  <c r="AG108" i="1" a="1"/>
  <c r="AG108" i="1" s="1"/>
  <c r="AG119" i="1" s="1"/>
  <c r="AB109" i="1" a="1"/>
  <c r="AB109" i="1" s="1"/>
  <c r="AB120" i="1" s="1"/>
  <c r="AF111" i="1" a="1"/>
  <c r="AF111" i="1" s="1"/>
  <c r="AF122" i="1" s="1"/>
  <c r="AH108" i="1" a="1"/>
  <c r="AH108" i="1" s="1"/>
  <c r="AH119" i="1" s="1"/>
  <c r="AA108" i="1" a="1"/>
  <c r="AA108" i="1" s="1"/>
  <c r="AA119" i="1" s="1"/>
  <c r="AC109" i="1" a="1"/>
  <c r="AC109" i="1" s="1"/>
  <c r="AC120" i="1" s="1"/>
  <c r="AG111" i="1" a="1"/>
  <c r="AG111" i="1" s="1"/>
  <c r="AG122" i="1" s="1"/>
  <c r="AI108" i="1" a="1"/>
  <c r="AI108" i="1" s="1"/>
  <c r="AI119" i="1" s="1"/>
  <c r="AB108" i="1" a="1"/>
  <c r="AB108" i="1" s="1"/>
  <c r="AB119" i="1" s="1"/>
  <c r="AD109" i="1" a="1"/>
  <c r="AD109" i="1" s="1"/>
  <c r="AD120" i="1" s="1"/>
  <c r="AH111" i="1" a="1"/>
  <c r="AH111" i="1" s="1"/>
  <c r="AH122" i="1" s="1"/>
  <c r="AJ108" i="1" a="1"/>
  <c r="AJ108" i="1" s="1"/>
  <c r="AJ119" i="1" s="1"/>
  <c r="AE109" i="1" a="1"/>
  <c r="AE109" i="1" s="1"/>
  <c r="AE120" i="1" s="1"/>
  <c r="AI111" i="1" a="1"/>
  <c r="AI111" i="1" s="1"/>
  <c r="AI122" i="1" s="1"/>
  <c r="Z119" i="1"/>
  <c r="AH109" i="1" a="1"/>
  <c r="AH109" i="1" s="1"/>
  <c r="AH120" i="1" s="1"/>
  <c r="AF109" i="1" a="1"/>
  <c r="AF109" i="1" s="1"/>
  <c r="AF120" i="1" s="1"/>
  <c r="AJ111" i="1" a="1"/>
  <c r="AJ111" i="1" s="1"/>
  <c r="AJ122" i="1" s="1"/>
  <c r="AG109" i="1" a="1"/>
  <c r="AG109" i="1" s="1"/>
  <c r="AG120" i="1" s="1"/>
  <c r="AI109" i="1" a="1"/>
  <c r="AI109" i="1" s="1"/>
  <c r="AI120" i="1" s="1"/>
  <c r="AA111" i="1" a="1"/>
  <c r="AA111" i="1" s="1"/>
  <c r="AA122" i="1" s="1"/>
  <c r="AC108" i="1" a="1"/>
  <c r="AC108" i="1" s="1"/>
  <c r="AC119" i="1" s="1"/>
  <c r="AE108" i="1" a="1"/>
  <c r="AE108" i="1" s="1"/>
  <c r="AE119" i="1" s="1"/>
  <c r="D82" i="1"/>
  <c r="AS136" i="1"/>
  <c r="AS194" i="1"/>
  <c r="AS176" i="1"/>
  <c r="AS171" i="1"/>
  <c r="AS184" i="1"/>
  <c r="AS206" i="1"/>
  <c r="AU206" i="1" s="1"/>
  <c r="AS164" i="1"/>
  <c r="AS187" i="1"/>
  <c r="AS158" i="1"/>
  <c r="D76" i="1"/>
  <c r="AS130" i="1"/>
  <c r="AS159" i="1"/>
  <c r="AS129" i="1"/>
  <c r="AS165" i="1"/>
  <c r="AS148" i="1"/>
  <c r="AS128" i="1"/>
  <c r="AS150" i="1"/>
  <c r="AS141" i="1"/>
  <c r="AS119" i="1"/>
  <c r="AS124" i="1"/>
  <c r="AS134" i="1"/>
  <c r="AS118" i="1"/>
  <c r="AS201" i="1"/>
  <c r="AS182" i="1"/>
  <c r="AS143" i="1"/>
  <c r="AS126" i="1"/>
  <c r="AS127" i="1"/>
  <c r="AS160" i="1"/>
  <c r="AS154" i="1"/>
  <c r="AS198" i="1"/>
  <c r="AS112" i="1"/>
  <c r="AS153" i="1"/>
  <c r="AS172" i="1"/>
  <c r="AS183" i="1"/>
  <c r="AS205" i="1"/>
  <c r="AS145" i="1"/>
  <c r="AS191" i="1"/>
  <c r="AS133" i="1"/>
  <c r="AS177" i="1"/>
  <c r="AS202" i="1"/>
  <c r="AS116" i="1"/>
  <c r="AS115" i="1"/>
  <c r="AS109" i="1"/>
  <c r="AS157" i="1"/>
  <c r="AS114" i="1"/>
  <c r="AS178" i="1"/>
  <c r="AS120" i="1"/>
  <c r="AS140" i="1"/>
  <c r="AS113" i="1"/>
  <c r="AS156" i="1"/>
  <c r="AS167" i="1"/>
  <c r="AS146" i="1"/>
  <c r="AS161" i="1"/>
  <c r="AS123" i="1"/>
  <c r="AS169" i="1"/>
  <c r="AS173" i="1"/>
  <c r="AS193" i="1"/>
  <c r="AS151" i="1"/>
  <c r="AS199" i="1"/>
  <c r="AS139" i="1"/>
  <c r="AS132" i="1"/>
  <c r="AS163" i="1"/>
  <c r="AS179" i="1"/>
  <c r="AS152" i="1"/>
  <c r="AS197" i="1"/>
  <c r="AS125" i="1"/>
  <c r="AS180" i="1"/>
  <c r="AS142" i="1"/>
  <c r="AS110" i="1"/>
  <c r="AS192" i="1"/>
  <c r="AS181" i="1"/>
  <c r="AS149" i="1"/>
  <c r="AS162" i="1"/>
  <c r="AS200" i="1"/>
  <c r="AS111" i="1"/>
  <c r="AS188" i="1"/>
  <c r="AS122" i="1"/>
  <c r="AS137" i="1"/>
  <c r="AS108" i="1"/>
  <c r="AS190" i="1"/>
  <c r="AS117" i="1"/>
  <c r="AS204" i="1"/>
  <c r="AS175" i="1"/>
  <c r="AS195" i="1"/>
  <c r="AS168" i="1"/>
  <c r="AS185" i="1"/>
  <c r="AS121" i="1"/>
  <c r="AS138" i="1"/>
  <c r="AS189" i="1"/>
  <c r="AS144" i="1"/>
  <c r="AS186" i="1"/>
  <c r="AS131" i="1"/>
  <c r="AS135" i="1"/>
  <c r="AS107" i="1"/>
  <c r="AS155" i="1"/>
  <c r="AS166" i="1"/>
  <c r="AS174" i="1"/>
  <c r="AS147" i="1"/>
  <c r="AS203" i="1"/>
  <c r="AS196" i="1"/>
  <c r="AS170" i="1"/>
  <c r="AS106" i="1"/>
  <c r="AU106" i="1" s="1"/>
  <c r="AF102" i="1" l="1"/>
  <c r="AE102" i="1"/>
  <c r="AK119" i="1"/>
  <c r="AK122" i="1"/>
  <c r="AK120" i="1"/>
  <c r="Z121" i="1"/>
  <c r="AK121" i="1" s="1"/>
  <c r="AW106" i="1"/>
  <c r="BI106" i="1" s="1"/>
  <c r="AW114" i="1"/>
  <c r="BI114" i="1" s="1"/>
  <c r="AW122" i="1"/>
  <c r="BI122" i="1" s="1"/>
  <c r="AW130" i="1"/>
  <c r="BI130" i="1" s="1"/>
  <c r="AW138" i="1"/>
  <c r="BI138" i="1" s="1"/>
  <c r="AW146" i="1"/>
  <c r="BI146" i="1" s="1"/>
  <c r="AW153" i="1"/>
  <c r="BI153" i="1" s="1"/>
  <c r="AW162" i="1"/>
  <c r="BI162" i="1" s="1"/>
  <c r="AW169" i="1"/>
  <c r="BI169" i="1" s="1"/>
  <c r="AW194" i="1"/>
  <c r="BI194" i="1" s="1"/>
  <c r="AW197" i="1"/>
  <c r="BI197" i="1" s="1"/>
  <c r="AW199" i="1"/>
  <c r="BI199" i="1" s="1"/>
  <c r="AW107" i="1"/>
  <c r="BI107" i="1" s="1"/>
  <c r="AW115" i="1"/>
  <c r="BI115" i="1" s="1"/>
  <c r="AW123" i="1"/>
  <c r="BI123" i="1" s="1"/>
  <c r="AW131" i="1"/>
  <c r="BI131" i="1" s="1"/>
  <c r="AW139" i="1"/>
  <c r="BI139" i="1" s="1"/>
  <c r="AW147" i="1"/>
  <c r="BI147" i="1" s="1"/>
  <c r="AW155" i="1"/>
  <c r="BI155" i="1" s="1"/>
  <c r="AW163" i="1"/>
  <c r="BI163" i="1" s="1"/>
  <c r="AW171" i="1"/>
  <c r="BI171" i="1" s="1"/>
  <c r="AW187" i="1"/>
  <c r="BI187" i="1" s="1"/>
  <c r="AW205" i="1"/>
  <c r="BI205" i="1" s="1"/>
  <c r="AW108" i="1"/>
  <c r="BI108" i="1" s="1"/>
  <c r="AW116" i="1"/>
  <c r="BI116" i="1" s="1"/>
  <c r="AW124" i="1"/>
  <c r="BI124" i="1" s="1"/>
  <c r="AW132" i="1"/>
  <c r="BI132" i="1" s="1"/>
  <c r="AW140" i="1"/>
  <c r="BI140" i="1" s="1"/>
  <c r="AW148" i="1"/>
  <c r="BI148" i="1" s="1"/>
  <c r="AW157" i="1"/>
  <c r="BI157" i="1" s="1"/>
  <c r="AW165" i="1"/>
  <c r="BI165" i="1" s="1"/>
  <c r="AW172" i="1"/>
  <c r="BI172" i="1" s="1"/>
  <c r="AW179" i="1"/>
  <c r="BI179" i="1" s="1"/>
  <c r="AW188" i="1"/>
  <c r="BI188" i="1" s="1"/>
  <c r="AW110" i="1"/>
  <c r="BI110" i="1" s="1"/>
  <c r="AW117" i="1"/>
  <c r="BI117" i="1" s="1"/>
  <c r="AW126" i="1"/>
  <c r="BI126" i="1" s="1"/>
  <c r="AW133" i="1"/>
  <c r="BI133" i="1" s="1"/>
  <c r="AW141" i="1"/>
  <c r="BI141" i="1" s="1"/>
  <c r="AW150" i="1"/>
  <c r="BI150" i="1" s="1"/>
  <c r="AW156" i="1"/>
  <c r="BI156" i="1" s="1"/>
  <c r="AW164" i="1"/>
  <c r="BI164" i="1" s="1"/>
  <c r="AW173" i="1"/>
  <c r="BI173" i="1" s="1"/>
  <c r="AW181" i="1"/>
  <c r="BI181" i="1" s="1"/>
  <c r="AW190" i="1"/>
  <c r="BI190" i="1" s="1"/>
  <c r="AW109" i="1"/>
  <c r="BI109" i="1" s="1"/>
  <c r="AW118" i="1"/>
  <c r="BI118" i="1" s="1"/>
  <c r="AW125" i="1"/>
  <c r="BI125" i="1" s="1"/>
  <c r="AW134" i="1"/>
  <c r="BI134" i="1" s="1"/>
  <c r="AW142" i="1"/>
  <c r="BI142" i="1" s="1"/>
  <c r="AW149" i="1"/>
  <c r="BI149" i="1" s="1"/>
  <c r="AW158" i="1"/>
  <c r="BI158" i="1" s="1"/>
  <c r="AW166" i="1"/>
  <c r="BI166" i="1" s="1"/>
  <c r="AW175" i="1"/>
  <c r="BI175" i="1" s="1"/>
  <c r="AW182" i="1"/>
  <c r="BI182" i="1" s="1"/>
  <c r="AW189" i="1"/>
  <c r="BI189" i="1" s="1"/>
  <c r="AW198" i="1"/>
  <c r="BI198" i="1" s="1"/>
  <c r="AW191" i="1"/>
  <c r="BI191" i="1" s="1"/>
  <c r="AW111" i="1"/>
  <c r="BI111" i="1" s="1"/>
  <c r="AW119" i="1"/>
  <c r="BI119" i="1" s="1"/>
  <c r="AW127" i="1"/>
  <c r="BI127" i="1" s="1"/>
  <c r="AW135" i="1"/>
  <c r="BI135" i="1" s="1"/>
  <c r="AW143" i="1"/>
  <c r="BI143" i="1" s="1"/>
  <c r="AW152" i="1"/>
  <c r="BI152" i="1" s="1"/>
  <c r="AW159" i="1"/>
  <c r="BI159" i="1" s="1"/>
  <c r="AW167" i="1"/>
  <c r="BI167" i="1" s="1"/>
  <c r="AW174" i="1"/>
  <c r="BI174" i="1" s="1"/>
  <c r="AW113" i="1"/>
  <c r="BI113" i="1" s="1"/>
  <c r="AW120" i="1"/>
  <c r="BI120" i="1" s="1"/>
  <c r="AW128" i="1"/>
  <c r="BI128" i="1" s="1"/>
  <c r="AW136" i="1"/>
  <c r="BI136" i="1" s="1"/>
  <c r="AW145" i="1"/>
  <c r="BI145" i="1" s="1"/>
  <c r="AW151" i="1"/>
  <c r="BI151" i="1" s="1"/>
  <c r="AW160" i="1"/>
  <c r="BI160" i="1" s="1"/>
  <c r="AW168" i="1"/>
  <c r="BI168" i="1" s="1"/>
  <c r="AW176" i="1"/>
  <c r="BI176" i="1" s="1"/>
  <c r="AW183" i="1"/>
  <c r="BI183" i="1" s="1"/>
  <c r="AW192" i="1"/>
  <c r="BI192" i="1" s="1"/>
  <c r="AW200" i="1"/>
  <c r="BI200" i="1" s="1"/>
  <c r="AW185" i="1"/>
  <c r="BI185" i="1" s="1"/>
  <c r="AW180" i="1"/>
  <c r="BI180" i="1" s="1"/>
  <c r="AW204" i="1"/>
  <c r="BI204" i="1" s="1"/>
  <c r="AW203" i="1"/>
  <c r="BI203" i="1" s="1"/>
  <c r="AW184" i="1"/>
  <c r="BI184" i="1" s="1"/>
  <c r="AW112" i="1"/>
  <c r="BI112" i="1" s="1"/>
  <c r="AW121" i="1"/>
  <c r="BI121" i="1" s="1"/>
  <c r="AW129" i="1"/>
  <c r="BI129" i="1" s="1"/>
  <c r="AW137" i="1"/>
  <c r="BI137" i="1" s="1"/>
  <c r="AW144" i="1"/>
  <c r="BI144" i="1" s="1"/>
  <c r="AW154" i="1"/>
  <c r="BI154" i="1" s="1"/>
  <c r="AW161" i="1"/>
  <c r="BI161" i="1" s="1"/>
  <c r="AW170" i="1"/>
  <c r="BI170" i="1" s="1"/>
  <c r="AW177" i="1"/>
  <c r="BI177" i="1" s="1"/>
  <c r="AW186" i="1"/>
  <c r="BI186" i="1" s="1"/>
  <c r="AW193" i="1"/>
  <c r="BI193" i="1" s="1"/>
  <c r="AW202" i="1"/>
  <c r="BI202" i="1" s="1"/>
  <c r="AW178" i="1"/>
  <c r="BI178" i="1" s="1"/>
  <c r="AW201" i="1"/>
  <c r="BI201" i="1" s="1"/>
  <c r="AW195" i="1"/>
  <c r="BI195" i="1" s="1"/>
  <c r="AW196" i="1"/>
  <c r="BI196" i="1" s="1"/>
  <c r="AW206" i="1"/>
  <c r="BI206" i="1" s="1"/>
  <c r="AL108" i="1"/>
  <c r="T89" i="1" s="1"/>
  <c r="AL111" i="1"/>
  <c r="V92" i="1" s="1"/>
  <c r="AL109" i="1"/>
  <c r="AA90" i="1" s="1"/>
  <c r="AL110" i="1"/>
  <c r="W91" i="1" s="1"/>
  <c r="AT107" i="1"/>
  <c r="AU107" i="1" s="1"/>
  <c r="BG107" i="1"/>
  <c r="AT204" i="1"/>
  <c r="AU204" i="1" s="1"/>
  <c r="BG204" i="1"/>
  <c r="BG192" i="1"/>
  <c r="AT192" i="1"/>
  <c r="AU192" i="1" s="1"/>
  <c r="AT151" i="1"/>
  <c r="AU151" i="1" s="1"/>
  <c r="BG151" i="1"/>
  <c r="AT178" i="1"/>
  <c r="AU178" i="1" s="1"/>
  <c r="BG178" i="1"/>
  <c r="BG183" i="1"/>
  <c r="AT183" i="1"/>
  <c r="AU183" i="1" s="1"/>
  <c r="AT118" i="1"/>
  <c r="AU118" i="1" s="1"/>
  <c r="BG118" i="1"/>
  <c r="AT135" i="1"/>
  <c r="AU135" i="1" s="1"/>
  <c r="BG135" i="1"/>
  <c r="BG117" i="1"/>
  <c r="AT117" i="1"/>
  <c r="AU117" i="1" s="1"/>
  <c r="AT110" i="1"/>
  <c r="AU110" i="1" s="1"/>
  <c r="BG110" i="1"/>
  <c r="AT193" i="1"/>
  <c r="AU193" i="1" s="1"/>
  <c r="BG193" i="1"/>
  <c r="BG114" i="1"/>
  <c r="AT114" i="1"/>
  <c r="AU114" i="1" s="1"/>
  <c r="BG172" i="1"/>
  <c r="AT172" i="1"/>
  <c r="AU172" i="1" s="1"/>
  <c r="BG134" i="1"/>
  <c r="AT134" i="1"/>
  <c r="AU134" i="1" s="1"/>
  <c r="AT158" i="1"/>
  <c r="AU158" i="1" s="1"/>
  <c r="BG158" i="1"/>
  <c r="AT131" i="1"/>
  <c r="AU131" i="1" s="1"/>
  <c r="BG131" i="1"/>
  <c r="AT190" i="1"/>
  <c r="AU190" i="1" s="1"/>
  <c r="BG190" i="1"/>
  <c r="AT142" i="1"/>
  <c r="AU142" i="1" s="1"/>
  <c r="BG142" i="1"/>
  <c r="BG173" i="1"/>
  <c r="AT173" i="1"/>
  <c r="AU173" i="1" s="1"/>
  <c r="AT157" i="1"/>
  <c r="AU157" i="1" s="1"/>
  <c r="BG157" i="1"/>
  <c r="BG153" i="1"/>
  <c r="AT153" i="1"/>
  <c r="AU153" i="1" s="1"/>
  <c r="BG124" i="1"/>
  <c r="AT124" i="1"/>
  <c r="AU124" i="1" s="1"/>
  <c r="AT187" i="1"/>
  <c r="AU187" i="1" s="1"/>
  <c r="BG187" i="1"/>
  <c r="AT186" i="1"/>
  <c r="AU186" i="1" s="1"/>
  <c r="BG186" i="1"/>
  <c r="AT108" i="1"/>
  <c r="AU108" i="1" s="1"/>
  <c r="BG108" i="1"/>
  <c r="AT180" i="1"/>
  <c r="AU180" i="1" s="1"/>
  <c r="BG180" i="1"/>
  <c r="AT169" i="1"/>
  <c r="AU169" i="1" s="1"/>
  <c r="BG169" i="1"/>
  <c r="BG109" i="1"/>
  <c r="AT109" i="1"/>
  <c r="AU109" i="1" s="1"/>
  <c r="AT112" i="1"/>
  <c r="AU112" i="1" s="1"/>
  <c r="BG112" i="1"/>
  <c r="AT119" i="1"/>
  <c r="AU119" i="1" s="1"/>
  <c r="BG119" i="1"/>
  <c r="AT164" i="1"/>
  <c r="AU164" i="1" s="1"/>
  <c r="BG164" i="1"/>
  <c r="BG106" i="1"/>
  <c r="BG144" i="1"/>
  <c r="AT144" i="1"/>
  <c r="AU144" i="1" s="1"/>
  <c r="BG137" i="1"/>
  <c r="AT137" i="1"/>
  <c r="AU137" i="1" s="1"/>
  <c r="BG125" i="1"/>
  <c r="AT125" i="1"/>
  <c r="AU125" i="1" s="1"/>
  <c r="AT123" i="1"/>
  <c r="AU123" i="1" s="1"/>
  <c r="BG123" i="1"/>
  <c r="BG115" i="1"/>
  <c r="AT115" i="1"/>
  <c r="AU115" i="1" s="1"/>
  <c r="BG198" i="1"/>
  <c r="AT198" i="1"/>
  <c r="AU198" i="1" s="1"/>
  <c r="BG141" i="1"/>
  <c r="AT141" i="1"/>
  <c r="AU141" i="1" s="1"/>
  <c r="BG206" i="1"/>
  <c r="AT170" i="1"/>
  <c r="AU170" i="1" s="1"/>
  <c r="BG170" i="1"/>
  <c r="AT189" i="1"/>
  <c r="AU189" i="1" s="1"/>
  <c r="BG189" i="1"/>
  <c r="AT122" i="1"/>
  <c r="AU122" i="1" s="1"/>
  <c r="BG122" i="1"/>
  <c r="BG197" i="1"/>
  <c r="AT197" i="1"/>
  <c r="AU197" i="1" s="1"/>
  <c r="AT161" i="1"/>
  <c r="AU161" i="1" s="1"/>
  <c r="BG161" i="1"/>
  <c r="AT116" i="1"/>
  <c r="AU116" i="1" s="1"/>
  <c r="BG116" i="1"/>
  <c r="BG154" i="1"/>
  <c r="AT154" i="1"/>
  <c r="AU154" i="1" s="1"/>
  <c r="BG150" i="1"/>
  <c r="AT150" i="1"/>
  <c r="AU150" i="1" s="1"/>
  <c r="AT184" i="1"/>
  <c r="AU184" i="1" s="1"/>
  <c r="BG184" i="1"/>
  <c r="AT196" i="1"/>
  <c r="AU196" i="1" s="1"/>
  <c r="BG196" i="1"/>
  <c r="AT138" i="1"/>
  <c r="AU138" i="1" s="1"/>
  <c r="BG138" i="1"/>
  <c r="BG188" i="1"/>
  <c r="AT188" i="1"/>
  <c r="AU188" i="1" s="1"/>
  <c r="BG152" i="1"/>
  <c r="AT152" i="1"/>
  <c r="AU152" i="1" s="1"/>
  <c r="BG146" i="1"/>
  <c r="AT146" i="1"/>
  <c r="AU146" i="1" s="1"/>
  <c r="AT202" i="1"/>
  <c r="AU202" i="1" s="1"/>
  <c r="BG202" i="1"/>
  <c r="BG160" i="1"/>
  <c r="AT160" i="1"/>
  <c r="AU160" i="1" s="1"/>
  <c r="AT128" i="1"/>
  <c r="AU128" i="1" s="1"/>
  <c r="BG128" i="1"/>
  <c r="AT171" i="1"/>
  <c r="AU171" i="1" s="1"/>
  <c r="BG171" i="1"/>
  <c r="AT203" i="1"/>
  <c r="AU203" i="1" s="1"/>
  <c r="BG203" i="1"/>
  <c r="AT121" i="1"/>
  <c r="AU121" i="1" s="1"/>
  <c r="BG121" i="1"/>
  <c r="AT111" i="1"/>
  <c r="AU111" i="1" s="1"/>
  <c r="BG111" i="1"/>
  <c r="AT179" i="1"/>
  <c r="AU179" i="1" s="1"/>
  <c r="BG179" i="1"/>
  <c r="BG167" i="1"/>
  <c r="AT167" i="1"/>
  <c r="AU167" i="1" s="1"/>
  <c r="BG177" i="1"/>
  <c r="AT177" i="1"/>
  <c r="AU177" i="1" s="1"/>
  <c r="BG127" i="1"/>
  <c r="AT127" i="1"/>
  <c r="AU127" i="1" s="1"/>
  <c r="BG148" i="1"/>
  <c r="AT148" i="1"/>
  <c r="AU148" i="1" s="1"/>
  <c r="AT176" i="1"/>
  <c r="AU176" i="1" s="1"/>
  <c r="BG176" i="1"/>
  <c r="BG147" i="1"/>
  <c r="AT147" i="1"/>
  <c r="AU147" i="1" s="1"/>
  <c r="AT185" i="1"/>
  <c r="AU185" i="1" s="1"/>
  <c r="BG185" i="1"/>
  <c r="BG200" i="1"/>
  <c r="AT200" i="1"/>
  <c r="AU200" i="1" s="1"/>
  <c r="BG163" i="1"/>
  <c r="AT163" i="1"/>
  <c r="AU163" i="1" s="1"/>
  <c r="AT156" i="1"/>
  <c r="AU156" i="1" s="1"/>
  <c r="BG156" i="1"/>
  <c r="AT133" i="1"/>
  <c r="AU133" i="1" s="1"/>
  <c r="BG133" i="1"/>
  <c r="AT126" i="1"/>
  <c r="AU126" i="1" s="1"/>
  <c r="BG126" i="1"/>
  <c r="AT165" i="1"/>
  <c r="AU165" i="1" s="1"/>
  <c r="BG165" i="1"/>
  <c r="AT194" i="1"/>
  <c r="AU194" i="1" s="1"/>
  <c r="BG194" i="1"/>
  <c r="BG174" i="1"/>
  <c r="AT174" i="1"/>
  <c r="AU174" i="1" s="1"/>
  <c r="AT168" i="1"/>
  <c r="AU168" i="1" s="1"/>
  <c r="BG168" i="1"/>
  <c r="BG162" i="1"/>
  <c r="AT162" i="1"/>
  <c r="AU162" i="1" s="1"/>
  <c r="AT132" i="1"/>
  <c r="AU132" i="1" s="1"/>
  <c r="BG132" i="1"/>
  <c r="BG113" i="1"/>
  <c r="AT113" i="1"/>
  <c r="AU113" i="1" s="1"/>
  <c r="BG191" i="1"/>
  <c r="AT191" i="1"/>
  <c r="AU191" i="1" s="1"/>
  <c r="BG143" i="1"/>
  <c r="AT143" i="1"/>
  <c r="AU143" i="1" s="1"/>
  <c r="AT129" i="1"/>
  <c r="AU129" i="1" s="1"/>
  <c r="BG129" i="1"/>
  <c r="BG136" i="1"/>
  <c r="AT136" i="1"/>
  <c r="AU136" i="1" s="1"/>
  <c r="AT166" i="1"/>
  <c r="AU166" i="1" s="1"/>
  <c r="BG166" i="1"/>
  <c r="BG195" i="1"/>
  <c r="AT195" i="1"/>
  <c r="AU195" i="1" s="1"/>
  <c r="BG149" i="1"/>
  <c r="AT149" i="1"/>
  <c r="AU149" i="1" s="1"/>
  <c r="BG139" i="1"/>
  <c r="AT139" i="1"/>
  <c r="AU139" i="1" s="1"/>
  <c r="BG140" i="1"/>
  <c r="AT140" i="1"/>
  <c r="AU140" i="1" s="1"/>
  <c r="BG145" i="1"/>
  <c r="AT145" i="1"/>
  <c r="AU145" i="1" s="1"/>
  <c r="BG182" i="1"/>
  <c r="AT182" i="1"/>
  <c r="AU182" i="1" s="1"/>
  <c r="AT159" i="1"/>
  <c r="AU159" i="1" s="1"/>
  <c r="BG159" i="1"/>
  <c r="BG155" i="1"/>
  <c r="AT155" i="1"/>
  <c r="AU155" i="1" s="1"/>
  <c r="AT175" i="1"/>
  <c r="AU175" i="1" s="1"/>
  <c r="BG175" i="1"/>
  <c r="AT181" i="1"/>
  <c r="AU181" i="1" s="1"/>
  <c r="BG181" i="1"/>
  <c r="BG199" i="1"/>
  <c r="AT199" i="1"/>
  <c r="AU199" i="1" s="1"/>
  <c r="AT120" i="1"/>
  <c r="AU120" i="1" s="1"/>
  <c r="BG120" i="1"/>
  <c r="BG205" i="1"/>
  <c r="AT205" i="1"/>
  <c r="AU205" i="1" s="1"/>
  <c r="AT201" i="1"/>
  <c r="AU201" i="1" s="1"/>
  <c r="BG201" i="1"/>
  <c r="AT130" i="1"/>
  <c r="AU130" i="1" s="1"/>
  <c r="BG130" i="1"/>
  <c r="BI104" i="1" l="1"/>
  <c r="BI103" i="1" s="1"/>
  <c r="V89" i="1"/>
  <c r="Y89" i="1"/>
  <c r="AC90" i="1"/>
  <c r="Y90" i="1"/>
  <c r="AA89" i="1"/>
  <c r="W90" i="1"/>
  <c r="W92" i="1"/>
  <c r="X89" i="1"/>
  <c r="X90" i="1"/>
  <c r="S90" i="1"/>
  <c r="AA91" i="1"/>
  <c r="T90" i="1"/>
  <c r="V90" i="1"/>
  <c r="AC89" i="1"/>
  <c r="W89" i="1"/>
  <c r="V91" i="1"/>
  <c r="S92" i="1"/>
  <c r="U89" i="1"/>
  <c r="U90" i="1"/>
  <c r="S91" i="1"/>
  <c r="AG92" i="1"/>
  <c r="U92" i="1"/>
  <c r="T92" i="1"/>
  <c r="AE91" i="1"/>
  <c r="AE89" i="1"/>
  <c r="AG89" i="1"/>
  <c r="AA92" i="1"/>
  <c r="AG90" i="1"/>
  <c r="Y92" i="1"/>
  <c r="X91" i="1"/>
  <c r="Y91" i="1"/>
  <c r="X92" i="1"/>
  <c r="T91" i="1"/>
  <c r="U91" i="1"/>
  <c r="AE92" i="1"/>
  <c r="AG91" i="1"/>
  <c r="AC91" i="1"/>
  <c r="AC92" i="1"/>
  <c r="AE90" i="1"/>
  <c r="S89" i="1"/>
  <c r="AU104" i="1"/>
  <c r="AV126" i="1" s="1"/>
  <c r="BH126" i="1" s="1"/>
  <c r="CC126" i="1" s="1"/>
  <c r="CD126" i="1" s="1"/>
  <c r="AA95" i="1" l="1"/>
  <c r="AC95" i="1"/>
  <c r="AE95" i="1"/>
  <c r="AG95" i="1"/>
  <c r="U95" i="1"/>
  <c r="Y95" i="1"/>
  <c r="X95" i="1"/>
  <c r="V95" i="1"/>
  <c r="T95" i="1"/>
  <c r="W95" i="1"/>
  <c r="S95" i="1"/>
  <c r="AV146" i="1"/>
  <c r="BH146" i="1" s="1"/>
  <c r="CC146" i="1" s="1"/>
  <c r="CD146" i="1" s="1"/>
  <c r="AV204" i="1"/>
  <c r="BH204" i="1" s="1"/>
  <c r="CC204" i="1" s="1"/>
  <c r="CD204" i="1" s="1"/>
  <c r="AV139" i="1"/>
  <c r="BH139" i="1" s="1"/>
  <c r="CC139" i="1" s="1"/>
  <c r="CD139" i="1" s="1"/>
  <c r="AV185" i="1"/>
  <c r="BH185" i="1" s="1"/>
  <c r="CC185" i="1" s="1"/>
  <c r="CD185" i="1" s="1"/>
  <c r="AV132" i="1"/>
  <c r="BH132" i="1" s="1"/>
  <c r="CC132" i="1" s="1"/>
  <c r="CD132" i="1" s="1"/>
  <c r="AV106" i="1"/>
  <c r="AV154" i="1"/>
  <c r="BH154" i="1" s="1"/>
  <c r="CC154" i="1" s="1"/>
  <c r="CD154" i="1" s="1"/>
  <c r="AV159" i="1"/>
  <c r="BH159" i="1" s="1"/>
  <c r="CC159" i="1" s="1"/>
  <c r="CD159" i="1" s="1"/>
  <c r="AV142" i="1"/>
  <c r="BH142" i="1" s="1"/>
  <c r="CC142" i="1" s="1"/>
  <c r="CD142" i="1" s="1"/>
  <c r="AV165" i="1"/>
  <c r="BH165" i="1" s="1"/>
  <c r="CC165" i="1" s="1"/>
  <c r="CD165" i="1" s="1"/>
  <c r="AV182" i="1"/>
  <c r="BH182" i="1" s="1"/>
  <c r="CC182" i="1" s="1"/>
  <c r="CD182" i="1" s="1"/>
  <c r="AV109" i="1"/>
  <c r="BH109" i="1" s="1"/>
  <c r="CC109" i="1" s="1"/>
  <c r="CD109" i="1" s="1"/>
  <c r="AV177" i="1"/>
  <c r="BH177" i="1" s="1"/>
  <c r="CC177" i="1" s="1"/>
  <c r="CD177" i="1" s="1"/>
  <c r="AV133" i="1"/>
  <c r="BH133" i="1" s="1"/>
  <c r="CC133" i="1" s="1"/>
  <c r="CD133" i="1" s="1"/>
  <c r="AV129" i="1"/>
  <c r="BH129" i="1" s="1"/>
  <c r="CC129" i="1" s="1"/>
  <c r="CD129" i="1" s="1"/>
  <c r="AV130" i="1"/>
  <c r="BH130" i="1" s="1"/>
  <c r="CC130" i="1" s="1"/>
  <c r="CD130" i="1" s="1"/>
  <c r="AV179" i="1"/>
  <c r="BH179" i="1" s="1"/>
  <c r="CC179" i="1" s="1"/>
  <c r="CD179" i="1" s="1"/>
  <c r="AV153" i="1"/>
  <c r="BH153" i="1" s="1"/>
  <c r="CC153" i="1" s="1"/>
  <c r="CD153" i="1" s="1"/>
  <c r="AV155" i="1"/>
  <c r="BH155" i="1" s="1"/>
  <c r="CC155" i="1" s="1"/>
  <c r="CD155" i="1" s="1"/>
  <c r="AV161" i="1"/>
  <c r="BH161" i="1" s="1"/>
  <c r="CC161" i="1" s="1"/>
  <c r="CD161" i="1" s="1"/>
  <c r="AV163" i="1"/>
  <c r="BH163" i="1" s="1"/>
  <c r="CC163" i="1" s="1"/>
  <c r="CD163" i="1" s="1"/>
  <c r="AV169" i="1"/>
  <c r="BH169" i="1" s="1"/>
  <c r="CC169" i="1" s="1"/>
  <c r="CD169" i="1" s="1"/>
  <c r="AV168" i="1"/>
  <c r="BH168" i="1" s="1"/>
  <c r="CC168" i="1" s="1"/>
  <c r="CD168" i="1" s="1"/>
  <c r="AV183" i="1"/>
  <c r="BH183" i="1" s="1"/>
  <c r="CC183" i="1" s="1"/>
  <c r="CD183" i="1" s="1"/>
  <c r="AV114" i="1"/>
  <c r="BH114" i="1" s="1"/>
  <c r="CC114" i="1" s="1"/>
  <c r="CD114" i="1" s="1"/>
  <c r="AV167" i="1"/>
  <c r="BH167" i="1" s="1"/>
  <c r="CC167" i="1" s="1"/>
  <c r="CD167" i="1" s="1"/>
  <c r="AV145" i="1"/>
  <c r="BH145" i="1" s="1"/>
  <c r="CC145" i="1" s="1"/>
  <c r="CD145" i="1" s="1"/>
  <c r="AV201" i="1"/>
  <c r="BH201" i="1" s="1"/>
  <c r="CC201" i="1" s="1"/>
  <c r="CD201" i="1" s="1"/>
  <c r="AV137" i="1"/>
  <c r="BH137" i="1" s="1"/>
  <c r="CC137" i="1" s="1"/>
  <c r="CD137" i="1" s="1"/>
  <c r="AV125" i="1"/>
  <c r="BH125" i="1" s="1"/>
  <c r="CC125" i="1" s="1"/>
  <c r="CD125" i="1" s="1"/>
  <c r="AV124" i="1"/>
  <c r="BH124" i="1" s="1"/>
  <c r="CC124" i="1" s="1"/>
  <c r="CD124" i="1" s="1"/>
  <c r="AV113" i="1"/>
  <c r="BH113" i="1" s="1"/>
  <c r="CC113" i="1" s="1"/>
  <c r="CD113" i="1" s="1"/>
  <c r="AV117" i="1"/>
  <c r="BH117" i="1" s="1"/>
  <c r="CC117" i="1" s="1"/>
  <c r="CD117" i="1" s="1"/>
  <c r="AV150" i="1"/>
  <c r="BH150" i="1" s="1"/>
  <c r="CC150" i="1" s="1"/>
  <c r="CD150" i="1" s="1"/>
  <c r="AV197" i="1"/>
  <c r="BH197" i="1" s="1"/>
  <c r="CC197" i="1" s="1"/>
  <c r="CD197" i="1" s="1"/>
  <c r="AV140" i="1"/>
  <c r="BH140" i="1" s="1"/>
  <c r="CC140" i="1" s="1"/>
  <c r="CD140" i="1" s="1"/>
  <c r="AV158" i="1"/>
  <c r="BH158" i="1" s="1"/>
  <c r="CC158" i="1" s="1"/>
  <c r="CD158" i="1" s="1"/>
  <c r="AV107" i="1"/>
  <c r="BH107" i="1" s="1"/>
  <c r="CC107" i="1" s="1"/>
  <c r="CD107" i="1" s="1"/>
  <c r="AV176" i="1"/>
  <c r="BH176" i="1" s="1"/>
  <c r="CC176" i="1" s="1"/>
  <c r="CD176" i="1" s="1"/>
  <c r="AV175" i="1"/>
  <c r="BH175" i="1" s="1"/>
  <c r="CC175" i="1" s="1"/>
  <c r="CD175" i="1" s="1"/>
  <c r="AV199" i="1"/>
  <c r="BH199" i="1" s="1"/>
  <c r="CC199" i="1" s="1"/>
  <c r="CD199" i="1" s="1"/>
  <c r="AV157" i="1"/>
  <c r="BH157" i="1" s="1"/>
  <c r="CC157" i="1" s="1"/>
  <c r="CD157" i="1" s="1"/>
  <c r="AV170" i="1"/>
  <c r="BH170" i="1" s="1"/>
  <c r="CC170" i="1" s="1"/>
  <c r="CD170" i="1" s="1"/>
  <c r="AV151" i="1"/>
  <c r="BH151" i="1" s="1"/>
  <c r="CC151" i="1" s="1"/>
  <c r="CD151" i="1" s="1"/>
  <c r="AV189" i="1"/>
  <c r="BH189" i="1" s="1"/>
  <c r="CC189" i="1" s="1"/>
  <c r="CD189" i="1" s="1"/>
  <c r="AV193" i="1"/>
  <c r="BH193" i="1" s="1"/>
  <c r="CC193" i="1" s="1"/>
  <c r="CD193" i="1" s="1"/>
  <c r="AV162" i="1"/>
  <c r="BH162" i="1" s="1"/>
  <c r="CC162" i="1" s="1"/>
  <c r="CD162" i="1" s="1"/>
  <c r="AV187" i="1"/>
  <c r="BH187" i="1" s="1"/>
  <c r="CC187" i="1" s="1"/>
  <c r="CD187" i="1" s="1"/>
  <c r="AV186" i="1"/>
  <c r="BH186" i="1" s="1"/>
  <c r="CC186" i="1" s="1"/>
  <c r="CD186" i="1" s="1"/>
  <c r="AV144" i="1"/>
  <c r="BH144" i="1" s="1"/>
  <c r="CC144" i="1" s="1"/>
  <c r="CD144" i="1" s="1"/>
  <c r="AV131" i="1"/>
  <c r="BH131" i="1" s="1"/>
  <c r="CC131" i="1" s="1"/>
  <c r="CD131" i="1" s="1"/>
  <c r="AV118" i="1"/>
  <c r="BH118" i="1" s="1"/>
  <c r="CC118" i="1" s="1"/>
  <c r="CD118" i="1" s="1"/>
  <c r="AV172" i="1"/>
  <c r="BH172" i="1" s="1"/>
  <c r="CC172" i="1" s="1"/>
  <c r="CD172" i="1" s="1"/>
  <c r="AV116" i="1"/>
  <c r="BH116" i="1" s="1"/>
  <c r="CC116" i="1" s="1"/>
  <c r="CD116" i="1" s="1"/>
  <c r="AV178" i="1"/>
  <c r="BH178" i="1" s="1"/>
  <c r="CC178" i="1" s="1"/>
  <c r="CD178" i="1" s="1"/>
  <c r="AV128" i="1"/>
  <c r="BH128" i="1" s="1"/>
  <c r="CC128" i="1" s="1"/>
  <c r="CD128" i="1" s="1"/>
  <c r="AV134" i="1"/>
  <c r="BH134" i="1" s="1"/>
  <c r="CC134" i="1" s="1"/>
  <c r="CD134" i="1" s="1"/>
  <c r="AV143" i="1"/>
  <c r="BH143" i="1" s="1"/>
  <c r="CC143" i="1" s="1"/>
  <c r="CD143" i="1" s="1"/>
  <c r="AV141" i="1"/>
  <c r="BH141" i="1" s="1"/>
  <c r="CC141" i="1" s="1"/>
  <c r="CD141" i="1" s="1"/>
  <c r="AV108" i="1"/>
  <c r="BH108" i="1" s="1"/>
  <c r="CC108" i="1" s="1"/>
  <c r="CD108" i="1" s="1"/>
  <c r="AV138" i="1"/>
  <c r="BH138" i="1" s="1"/>
  <c r="CC138" i="1" s="1"/>
  <c r="CD138" i="1" s="1"/>
  <c r="AV180" i="1"/>
  <c r="BH180" i="1" s="1"/>
  <c r="CC180" i="1" s="1"/>
  <c r="CD180" i="1" s="1"/>
  <c r="AV190" i="1"/>
  <c r="BH190" i="1" s="1"/>
  <c r="CC190" i="1" s="1"/>
  <c r="CD190" i="1" s="1"/>
  <c r="AV181" i="1"/>
  <c r="BH181" i="1" s="1"/>
  <c r="CC181" i="1" s="1"/>
  <c r="CD181" i="1" s="1"/>
  <c r="AV202" i="1"/>
  <c r="BH202" i="1" s="1"/>
  <c r="CC202" i="1" s="1"/>
  <c r="CD202" i="1" s="1"/>
  <c r="AV110" i="1"/>
  <c r="BH110" i="1" s="1"/>
  <c r="CC110" i="1" s="1"/>
  <c r="CD110" i="1" s="1"/>
  <c r="AV112" i="1"/>
  <c r="BH112" i="1" s="1"/>
  <c r="CC112" i="1" s="1"/>
  <c r="CD112" i="1" s="1"/>
  <c r="AV156" i="1"/>
  <c r="BH156" i="1" s="1"/>
  <c r="CC156" i="1" s="1"/>
  <c r="CD156" i="1" s="1"/>
  <c r="AV188" i="1"/>
  <c r="BH188" i="1" s="1"/>
  <c r="CC188" i="1" s="1"/>
  <c r="CD188" i="1" s="1"/>
  <c r="AV123" i="1"/>
  <c r="BH123" i="1" s="1"/>
  <c r="CC123" i="1" s="1"/>
  <c r="CD123" i="1" s="1"/>
  <c r="AV191" i="1"/>
  <c r="BH191" i="1" s="1"/>
  <c r="CC191" i="1" s="1"/>
  <c r="CD191" i="1" s="1"/>
  <c r="AV147" i="1"/>
  <c r="BH147" i="1" s="1"/>
  <c r="CC147" i="1" s="1"/>
  <c r="CD147" i="1" s="1"/>
  <c r="AV119" i="1"/>
  <c r="BH119" i="1" s="1"/>
  <c r="CC119" i="1" s="1"/>
  <c r="CD119" i="1" s="1"/>
  <c r="AV164" i="1"/>
  <c r="BH164" i="1" s="1"/>
  <c r="CC164" i="1" s="1"/>
  <c r="CD164" i="1" s="1"/>
  <c r="AV205" i="1"/>
  <c r="BH205" i="1" s="1"/>
  <c r="CC205" i="1" s="1"/>
  <c r="CD205" i="1" s="1"/>
  <c r="AV196" i="1"/>
  <c r="BH196" i="1" s="1"/>
  <c r="CC196" i="1" s="1"/>
  <c r="CD196" i="1" s="1"/>
  <c r="AV174" i="1"/>
  <c r="BH174" i="1" s="1"/>
  <c r="CC174" i="1" s="1"/>
  <c r="CD174" i="1" s="1"/>
  <c r="AV115" i="1"/>
  <c r="BH115" i="1" s="1"/>
  <c r="CC115" i="1" s="1"/>
  <c r="CD115" i="1" s="1"/>
  <c r="AV111" i="1"/>
  <c r="BH111" i="1" s="1"/>
  <c r="CC111" i="1" s="1"/>
  <c r="CD111" i="1" s="1"/>
  <c r="AV184" i="1"/>
  <c r="BH184" i="1" s="1"/>
  <c r="CC184" i="1" s="1"/>
  <c r="CD184" i="1" s="1"/>
  <c r="AV120" i="1"/>
  <c r="BH120" i="1" s="1"/>
  <c r="CC120" i="1" s="1"/>
  <c r="CD120" i="1" s="1"/>
  <c r="AV195" i="1"/>
  <c r="BH195" i="1" s="1"/>
  <c r="CC195" i="1" s="1"/>
  <c r="CD195" i="1" s="1"/>
  <c r="AV121" i="1"/>
  <c r="BH121" i="1" s="1"/>
  <c r="CC121" i="1" s="1"/>
  <c r="CD121" i="1" s="1"/>
  <c r="AV171" i="1"/>
  <c r="BH171" i="1" s="1"/>
  <c r="CC171" i="1" s="1"/>
  <c r="CD171" i="1" s="1"/>
  <c r="AV206" i="1"/>
  <c r="BH206" i="1" s="1"/>
  <c r="CC206" i="1" s="1"/>
  <c r="CD206" i="1" s="1"/>
  <c r="AV198" i="1"/>
  <c r="BH198" i="1" s="1"/>
  <c r="CC198" i="1" s="1"/>
  <c r="CD198" i="1" s="1"/>
  <c r="AV148" i="1"/>
  <c r="BH148" i="1" s="1"/>
  <c r="CC148" i="1" s="1"/>
  <c r="CD148" i="1" s="1"/>
  <c r="AV194" i="1"/>
  <c r="BH194" i="1" s="1"/>
  <c r="CC194" i="1" s="1"/>
  <c r="CD194" i="1" s="1"/>
  <c r="AV192" i="1"/>
  <c r="BH192" i="1" s="1"/>
  <c r="CC192" i="1" s="1"/>
  <c r="CD192" i="1" s="1"/>
  <c r="AV173" i="1"/>
  <c r="BH173" i="1" s="1"/>
  <c r="CC173" i="1" s="1"/>
  <c r="CD173" i="1" s="1"/>
  <c r="AV127" i="1"/>
  <c r="BH127" i="1" s="1"/>
  <c r="CC127" i="1" s="1"/>
  <c r="CD127" i="1" s="1"/>
  <c r="AV149" i="1"/>
  <c r="BH149" i="1" s="1"/>
  <c r="CC149" i="1" s="1"/>
  <c r="CD149" i="1" s="1"/>
  <c r="AV166" i="1"/>
  <c r="BH166" i="1" s="1"/>
  <c r="CC166" i="1" s="1"/>
  <c r="CD166" i="1" s="1"/>
  <c r="AV152" i="1"/>
  <c r="BH152" i="1" s="1"/>
  <c r="CC152" i="1" s="1"/>
  <c r="CD152" i="1" s="1"/>
  <c r="AV122" i="1"/>
  <c r="BH122" i="1" s="1"/>
  <c r="CC122" i="1" s="1"/>
  <c r="CD122" i="1" s="1"/>
  <c r="AV160" i="1"/>
  <c r="BH160" i="1" s="1"/>
  <c r="CC160" i="1" s="1"/>
  <c r="CD160" i="1" s="1"/>
  <c r="AV200" i="1"/>
  <c r="BH200" i="1" s="1"/>
  <c r="CC200" i="1" s="1"/>
  <c r="CD200" i="1" s="1"/>
  <c r="AV136" i="1"/>
  <c r="BH136" i="1" s="1"/>
  <c r="CC136" i="1" s="1"/>
  <c r="CD136" i="1" s="1"/>
  <c r="AV135" i="1"/>
  <c r="BH135" i="1" s="1"/>
  <c r="CC135" i="1" s="1"/>
  <c r="CD135" i="1" s="1"/>
  <c r="AV203" i="1"/>
  <c r="BH203" i="1" s="1"/>
  <c r="CC203" i="1" s="1"/>
  <c r="CD203" i="1" s="1"/>
  <c r="AU100" i="1" a="1"/>
  <c r="AU102" i="1" a="1"/>
  <c r="AU101" i="1" a="1"/>
  <c r="AU102" i="1" l="1"/>
  <c r="AU101" i="1"/>
  <c r="AU100" i="1"/>
  <c r="AF95" i="1"/>
  <c r="Z95" i="1"/>
  <c r="AD95" i="1"/>
  <c r="AB95" i="1"/>
  <c r="AV208" i="1"/>
  <c r="R20" i="1" s="1"/>
  <c r="BH106" i="1"/>
  <c r="AV209" i="1"/>
  <c r="R21" i="1" l="1"/>
  <c r="D89" i="1"/>
  <c r="K106" i="1" s="1"/>
  <c r="BH104" i="1"/>
  <c r="BH103" i="1" s="1"/>
  <c r="CC106" i="1"/>
  <c r="CD106" i="1" l="1"/>
  <c r="CC209" i="1"/>
  <c r="CC208" i="1"/>
  <c r="CC104" i="1"/>
  <c r="CC103" i="1" s="1"/>
  <c r="L106" i="1"/>
  <c r="CG103" i="1" a="1"/>
  <c r="N106" i="1" l="1"/>
  <c r="B106" i="1"/>
  <c r="CG103" i="1"/>
  <c r="BB106" i="1"/>
  <c r="R106" i="1"/>
  <c r="S106" i="1" s="1"/>
  <c r="CC210" i="1"/>
  <c r="CG101" i="1" a="1"/>
  <c r="CG102" i="1" a="1"/>
  <c r="CG102" i="1" l="1"/>
  <c r="G106" i="1"/>
  <c r="E106" i="1" s="1"/>
  <c r="CG101" i="1"/>
  <c r="O106" i="1"/>
  <c r="I106" i="1" l="1"/>
  <c r="J106" i="1" s="1"/>
  <c r="H106" i="1"/>
  <c r="AZ106" i="1" l="1"/>
  <c r="M106" i="1"/>
  <c r="P106" i="1" s="1"/>
  <c r="K107" i="1"/>
  <c r="BA106" i="1" l="1"/>
  <c r="D107" i="1"/>
  <c r="Q106" i="1"/>
  <c r="D561" i="1"/>
  <c r="D562" i="1"/>
  <c r="L107" i="1"/>
  <c r="N107" i="1" l="1"/>
  <c r="X106" i="1"/>
  <c r="V106" i="1"/>
  <c r="U106" i="1"/>
  <c r="W106" i="1"/>
  <c r="B107" i="1"/>
  <c r="BB107" i="1"/>
  <c r="R107" i="1"/>
  <c r="S107" i="1" s="1"/>
  <c r="O107" i="1" l="1"/>
  <c r="G107" i="1"/>
  <c r="E107" i="1" s="1"/>
  <c r="I107" i="1" l="1"/>
  <c r="H107" i="1"/>
  <c r="T106" i="1" s="1"/>
  <c r="AZ107" i="1" l="1"/>
  <c r="M107" i="1"/>
  <c r="P107" i="1" s="1"/>
  <c r="J107" i="1"/>
  <c r="K108" i="1"/>
  <c r="BA107" i="1" l="1"/>
  <c r="D108" i="1"/>
  <c r="Q107" i="1"/>
  <c r="D202" i="1"/>
  <c r="D203" i="1"/>
  <c r="L108" i="1"/>
  <c r="N108" i="1" l="1"/>
  <c r="V107" i="1"/>
  <c r="U107" i="1"/>
  <c r="X107" i="1"/>
  <c r="W107" i="1"/>
  <c r="B108" i="1"/>
  <c r="R108" i="1"/>
  <c r="S108" i="1" s="1"/>
  <c r="BB108" i="1"/>
  <c r="G108" i="1" l="1"/>
  <c r="E108" i="1" s="1"/>
  <c r="O108" i="1"/>
  <c r="H108" i="1" l="1"/>
  <c r="T107" i="1" s="1"/>
  <c r="I108" i="1"/>
  <c r="AZ108" i="1" l="1"/>
  <c r="M108" i="1"/>
  <c r="P108" i="1" s="1"/>
  <c r="J108" i="1"/>
  <c r="K109" i="1"/>
  <c r="BA108" i="1" l="1"/>
  <c r="D109" i="1"/>
  <c r="L109" i="1"/>
  <c r="D204" i="1"/>
  <c r="D205" i="1"/>
  <c r="Q108" i="1"/>
  <c r="N109" i="1" l="1"/>
  <c r="V108" i="1"/>
  <c r="X108" i="1"/>
  <c r="W108" i="1"/>
  <c r="U108" i="1"/>
  <c r="B109" i="1"/>
  <c r="BB109" i="1"/>
  <c r="R109" i="1"/>
  <c r="S109" i="1" s="1"/>
  <c r="G109" i="1" l="1"/>
  <c r="E109" i="1" s="1"/>
  <c r="O109" i="1"/>
  <c r="I109" i="1" l="1"/>
  <c r="H109" i="1"/>
  <c r="T108" i="1" s="1"/>
  <c r="AZ109" i="1" l="1"/>
  <c r="BA109" i="1" s="1"/>
  <c r="M109" i="1"/>
  <c r="P109" i="1" s="1"/>
  <c r="J109" i="1"/>
  <c r="K110" i="1"/>
  <c r="D110" i="1" l="1"/>
  <c r="L110" i="1"/>
  <c r="D207" i="1"/>
  <c r="Q109" i="1"/>
  <c r="D206" i="1"/>
  <c r="N110" i="1" l="1"/>
  <c r="U109" i="1"/>
  <c r="V109" i="1"/>
  <c r="X109" i="1"/>
  <c r="W109" i="1"/>
  <c r="B110" i="1"/>
  <c r="R110" i="1"/>
  <c r="S110" i="1" s="1"/>
  <c r="BB110" i="1"/>
  <c r="G110" i="1" l="1"/>
  <c r="E110" i="1" s="1"/>
  <c r="O110" i="1"/>
  <c r="I110" i="1" l="1"/>
  <c r="H110" i="1"/>
  <c r="T109" i="1" s="1"/>
  <c r="AZ110" i="1" l="1"/>
  <c r="BA110" i="1" s="1"/>
  <c r="M110" i="1"/>
  <c r="P110" i="1" s="1"/>
  <c r="J110" i="1"/>
  <c r="K111" i="1"/>
  <c r="D111" i="1" l="1"/>
  <c r="L111" i="1"/>
  <c r="N111" i="1" s="1"/>
  <c r="Q110" i="1"/>
  <c r="D208" i="1"/>
  <c r="D209" i="1"/>
  <c r="V110" i="1" l="1"/>
  <c r="U110" i="1"/>
  <c r="X110" i="1"/>
  <c r="W110" i="1"/>
  <c r="B111" i="1"/>
  <c r="R111" i="1"/>
  <c r="S111" i="1" s="1"/>
  <c r="BB111" i="1"/>
  <c r="G111" i="1" l="1"/>
  <c r="E111" i="1" s="1"/>
  <c r="O111" i="1"/>
  <c r="I111" i="1" l="1"/>
  <c r="H111" i="1"/>
  <c r="T110" i="1" s="1"/>
  <c r="AZ111" i="1" l="1"/>
  <c r="BA111" i="1" s="1"/>
  <c r="M111" i="1"/>
  <c r="P111" i="1" s="1"/>
  <c r="J111" i="1"/>
  <c r="K112" i="1"/>
  <c r="D112" i="1" l="1"/>
  <c r="L112" i="1"/>
  <c r="N112" i="1" s="1"/>
  <c r="D211" i="1"/>
  <c r="D210" i="1"/>
  <c r="Q111" i="1"/>
  <c r="X111" i="1" l="1"/>
  <c r="V111" i="1"/>
  <c r="W111" i="1"/>
  <c r="U111" i="1"/>
  <c r="B112" i="1"/>
  <c r="BB112" i="1"/>
  <c r="R112" i="1"/>
  <c r="S112" i="1" s="1"/>
  <c r="G112" i="1" l="1"/>
  <c r="E112" i="1" s="1"/>
  <c r="O112" i="1"/>
  <c r="I112" i="1" l="1"/>
  <c r="H112" i="1"/>
  <c r="T111" i="1" s="1"/>
  <c r="AZ112" i="1" l="1"/>
  <c r="BA112" i="1" s="1"/>
  <c r="M112" i="1"/>
  <c r="P112" i="1" s="1"/>
  <c r="J112" i="1"/>
  <c r="D113" i="1" s="1"/>
  <c r="K113" i="1"/>
  <c r="Q112" i="1" l="1"/>
  <c r="D213" i="1"/>
  <c r="D212" i="1"/>
  <c r="L113" i="1"/>
  <c r="N113" i="1" s="1"/>
  <c r="U112" i="1" l="1"/>
  <c r="W112" i="1"/>
  <c r="V112" i="1"/>
  <c r="X112" i="1"/>
  <c r="B113" i="1"/>
  <c r="BB113" i="1"/>
  <c r="R113" i="1"/>
  <c r="S113" i="1" s="1"/>
  <c r="G113" i="1" l="1"/>
  <c r="E113" i="1" s="1"/>
  <c r="O113" i="1"/>
  <c r="I113" i="1" l="1"/>
  <c r="H113" i="1"/>
  <c r="T112" i="1" s="1"/>
  <c r="AZ113" i="1" l="1"/>
  <c r="BA113" i="1" s="1"/>
  <c r="M113" i="1"/>
  <c r="P113" i="1" s="1"/>
  <c r="J113" i="1"/>
  <c r="D114" i="1" s="1"/>
  <c r="K114" i="1"/>
  <c r="L114" i="1" l="1"/>
  <c r="N114" i="1" s="1"/>
  <c r="D215" i="1"/>
  <c r="D214" i="1"/>
  <c r="Q113" i="1"/>
  <c r="V113" i="1" l="1"/>
  <c r="U113" i="1"/>
  <c r="X113" i="1"/>
  <c r="W113" i="1"/>
  <c r="B114" i="1"/>
  <c r="BB114" i="1"/>
  <c r="R114" i="1"/>
  <c r="S114" i="1" s="1"/>
  <c r="G114" i="1" l="1"/>
  <c r="E114" i="1" s="1"/>
  <c r="O114" i="1"/>
  <c r="H114" i="1" l="1"/>
  <c r="T113" i="1" s="1"/>
  <c r="I114" i="1"/>
  <c r="AZ114" i="1" l="1"/>
  <c r="BA114" i="1" s="1"/>
  <c r="M114" i="1"/>
  <c r="P114" i="1" s="1"/>
  <c r="J114" i="1"/>
  <c r="D115" i="1" s="1"/>
  <c r="K115" i="1"/>
  <c r="L115" i="1" l="1"/>
  <c r="N115" i="1" s="1"/>
  <c r="Q114" i="1"/>
  <c r="D216" i="1"/>
  <c r="D217" i="1"/>
  <c r="U114" i="1" l="1"/>
  <c r="W114" i="1"/>
  <c r="X114" i="1"/>
  <c r="V114" i="1"/>
  <c r="B115" i="1"/>
  <c r="BB115" i="1"/>
  <c r="R115" i="1"/>
  <c r="S115" i="1" s="1"/>
  <c r="G115" i="1" l="1"/>
  <c r="E115" i="1" s="1"/>
  <c r="O115" i="1"/>
  <c r="H115" i="1" l="1"/>
  <c r="T114" i="1" s="1"/>
  <c r="I115" i="1"/>
  <c r="AZ115" i="1" l="1"/>
  <c r="BA115" i="1" s="1"/>
  <c r="M115" i="1"/>
  <c r="P115" i="1" s="1"/>
  <c r="J115" i="1"/>
  <c r="D116" i="1" s="1"/>
  <c r="K116" i="1"/>
  <c r="L116" i="1" l="1"/>
  <c r="N116" i="1" s="1"/>
  <c r="D218" i="1"/>
  <c r="D219" i="1"/>
  <c r="Q115" i="1"/>
  <c r="W115" i="1" l="1"/>
  <c r="V115" i="1"/>
  <c r="U115" i="1"/>
  <c r="X115" i="1"/>
  <c r="B116" i="1"/>
  <c r="R116" i="1"/>
  <c r="S116" i="1" s="1"/>
  <c r="BB116" i="1"/>
  <c r="G116" i="1" l="1"/>
  <c r="E116" i="1" s="1"/>
  <c r="O116" i="1"/>
  <c r="H116" i="1" l="1"/>
  <c r="T115" i="1" s="1"/>
  <c r="I116" i="1"/>
  <c r="AZ116" i="1" l="1"/>
  <c r="BA116" i="1" s="1"/>
  <c r="M116" i="1"/>
  <c r="P116" i="1" s="1"/>
  <c r="J116" i="1"/>
  <c r="D117" i="1" s="1"/>
  <c r="K117" i="1"/>
  <c r="D221" i="1" l="1"/>
  <c r="D220" i="1"/>
  <c r="Q116" i="1"/>
  <c r="L117" i="1"/>
  <c r="N117" i="1" s="1"/>
  <c r="V116" i="1" l="1"/>
  <c r="X116" i="1"/>
  <c r="U116" i="1"/>
  <c r="W116" i="1"/>
  <c r="B117" i="1"/>
  <c r="R117" i="1"/>
  <c r="S117" i="1" s="1"/>
  <c r="BB117" i="1"/>
  <c r="G117" i="1" l="1"/>
  <c r="E117" i="1" s="1"/>
  <c r="O117" i="1"/>
  <c r="H117" i="1" l="1"/>
  <c r="T116" i="1" s="1"/>
  <c r="I117" i="1"/>
  <c r="AZ117" i="1" l="1"/>
  <c r="BA117" i="1" s="1"/>
  <c r="M117" i="1"/>
  <c r="P117" i="1" s="1"/>
  <c r="J117" i="1"/>
  <c r="D118" i="1" s="1"/>
  <c r="K118" i="1"/>
  <c r="L118" i="1" l="1"/>
  <c r="N118" i="1" s="1"/>
  <c r="D223" i="1"/>
  <c r="D222" i="1"/>
  <c r="Q117" i="1"/>
  <c r="X117" i="1" l="1"/>
  <c r="U117" i="1"/>
  <c r="W117" i="1"/>
  <c r="V117" i="1"/>
  <c r="B118" i="1"/>
  <c r="R118" i="1"/>
  <c r="S118" i="1" s="1"/>
  <c r="BB118" i="1"/>
  <c r="G118" i="1" l="1"/>
  <c r="E118" i="1" s="1"/>
  <c r="O118" i="1"/>
  <c r="I118" i="1" l="1"/>
  <c r="H118" i="1"/>
  <c r="T117" i="1" s="1"/>
  <c r="AZ118" i="1" l="1"/>
  <c r="BA118" i="1" s="1"/>
  <c r="M118" i="1"/>
  <c r="P118" i="1" s="1"/>
  <c r="J118" i="1"/>
  <c r="D119" i="1" s="1"/>
  <c r="K119" i="1"/>
  <c r="Q118" i="1" l="1"/>
  <c r="D225" i="1"/>
  <c r="D224" i="1"/>
  <c r="L119" i="1"/>
  <c r="N119" i="1" s="1"/>
  <c r="X118" i="1" l="1"/>
  <c r="V118" i="1"/>
  <c r="W118" i="1"/>
  <c r="U118" i="1"/>
  <c r="B119" i="1"/>
  <c r="R119" i="1"/>
  <c r="S119" i="1" s="1"/>
  <c r="BB119" i="1"/>
  <c r="G119" i="1" l="1"/>
  <c r="E119" i="1" s="1"/>
  <c r="O119" i="1"/>
  <c r="I119" i="1" l="1"/>
  <c r="H119" i="1"/>
  <c r="T118" i="1" s="1"/>
  <c r="AZ119" i="1" l="1"/>
  <c r="BA119" i="1" s="1"/>
  <c r="M119" i="1"/>
  <c r="P119" i="1" s="1"/>
  <c r="J119" i="1"/>
  <c r="D120" i="1" s="1"/>
  <c r="K120" i="1"/>
  <c r="D227" i="1" l="1"/>
  <c r="Q119" i="1"/>
  <c r="D226" i="1"/>
  <c r="L120" i="1"/>
  <c r="N120" i="1" s="1"/>
  <c r="V119" i="1" l="1"/>
  <c r="X119" i="1"/>
  <c r="U119" i="1"/>
  <c r="W119" i="1"/>
  <c r="B120" i="1"/>
  <c r="R120" i="1"/>
  <c r="S120" i="1" s="1"/>
  <c r="BB120" i="1"/>
  <c r="G120" i="1" l="1"/>
  <c r="E120" i="1" s="1"/>
  <c r="O120" i="1"/>
  <c r="H120" i="1" l="1"/>
  <c r="T119" i="1" s="1"/>
  <c r="I120" i="1"/>
  <c r="AZ120" i="1" l="1"/>
  <c r="BA120" i="1" s="1"/>
  <c r="M120" i="1"/>
  <c r="P120" i="1" s="1"/>
  <c r="J120" i="1"/>
  <c r="D121" i="1" s="1"/>
  <c r="K121" i="1"/>
  <c r="L121" i="1" l="1"/>
  <c r="N121" i="1" s="1"/>
  <c r="Q120" i="1"/>
  <c r="D229" i="1"/>
  <c r="D228" i="1"/>
  <c r="V120" i="1" l="1"/>
  <c r="W120" i="1"/>
  <c r="X120" i="1"/>
  <c r="U120" i="1"/>
  <c r="B121" i="1"/>
  <c r="R121" i="1"/>
  <c r="S121" i="1" s="1"/>
  <c r="BB121" i="1"/>
  <c r="G121" i="1" l="1"/>
  <c r="E121" i="1" s="1"/>
  <c r="O121" i="1"/>
  <c r="I121" i="1" l="1"/>
  <c r="H121" i="1"/>
  <c r="T120" i="1" s="1"/>
  <c r="AZ121" i="1" l="1"/>
  <c r="BA121" i="1" s="1"/>
  <c r="M121" i="1"/>
  <c r="P121" i="1" s="1"/>
  <c r="J121" i="1"/>
  <c r="D122" i="1" s="1"/>
  <c r="K122" i="1"/>
  <c r="L122" i="1" l="1"/>
  <c r="N122" i="1" s="1"/>
  <c r="D230" i="1"/>
  <c r="D231" i="1"/>
  <c r="Q121" i="1"/>
  <c r="U121" i="1" l="1"/>
  <c r="V121" i="1"/>
  <c r="W121" i="1"/>
  <c r="X121" i="1"/>
  <c r="B122" i="1"/>
  <c r="BB122" i="1"/>
  <c r="R122" i="1"/>
  <c r="S122" i="1" s="1"/>
  <c r="G122" i="1" l="1"/>
  <c r="E122" i="1" s="1"/>
  <c r="O122" i="1"/>
  <c r="H122" i="1" l="1"/>
  <c r="T121" i="1" s="1"/>
  <c r="I122" i="1"/>
  <c r="AZ122" i="1" l="1"/>
  <c r="BA122" i="1" s="1"/>
  <c r="M122" i="1"/>
  <c r="P122" i="1" s="1"/>
  <c r="J122" i="1"/>
  <c r="D123" i="1" s="1"/>
  <c r="K123" i="1"/>
  <c r="D233" i="1" l="1"/>
  <c r="Q122" i="1"/>
  <c r="D232" i="1"/>
  <c r="L123" i="1"/>
  <c r="N123" i="1" s="1"/>
  <c r="X122" i="1" l="1"/>
  <c r="W122" i="1"/>
  <c r="U122" i="1"/>
  <c r="V122" i="1"/>
  <c r="B123" i="1"/>
  <c r="BB123" i="1"/>
  <c r="R123" i="1"/>
  <c r="S123" i="1" s="1"/>
  <c r="G123" i="1" l="1"/>
  <c r="E123" i="1" s="1"/>
  <c r="O123" i="1"/>
  <c r="H123" i="1" l="1"/>
  <c r="T122" i="1" s="1"/>
  <c r="I123" i="1"/>
  <c r="AZ123" i="1" l="1"/>
  <c r="BA123" i="1" s="1"/>
  <c r="M123" i="1"/>
  <c r="P123" i="1" s="1"/>
  <c r="J123" i="1"/>
  <c r="D124" i="1" s="1"/>
  <c r="K124" i="1"/>
  <c r="Q123" i="1" l="1"/>
  <c r="D234" i="1"/>
  <c r="D235" i="1"/>
  <c r="L124" i="1"/>
  <c r="N124" i="1" s="1"/>
  <c r="X123" i="1" l="1"/>
  <c r="V123" i="1"/>
  <c r="W123" i="1"/>
  <c r="U123" i="1"/>
  <c r="B124" i="1"/>
  <c r="BB124" i="1"/>
  <c r="R124" i="1"/>
  <c r="S124" i="1" s="1"/>
  <c r="G124" i="1" l="1"/>
  <c r="E124" i="1" s="1"/>
  <c r="O124" i="1"/>
  <c r="H124" i="1" l="1"/>
  <c r="T123" i="1" s="1"/>
  <c r="I124" i="1"/>
  <c r="AZ124" i="1" l="1"/>
  <c r="BA124" i="1" s="1"/>
  <c r="M124" i="1"/>
  <c r="P124" i="1" s="1"/>
  <c r="J124" i="1"/>
  <c r="D125" i="1" s="1"/>
  <c r="K125" i="1"/>
  <c r="D236" i="1" l="1"/>
  <c r="Q124" i="1"/>
  <c r="D237" i="1"/>
  <c r="L125" i="1"/>
  <c r="N125" i="1" s="1"/>
  <c r="W124" i="1" l="1"/>
  <c r="X124" i="1"/>
  <c r="U124" i="1"/>
  <c r="V124" i="1"/>
  <c r="B125" i="1"/>
  <c r="R125" i="1"/>
  <c r="S125" i="1" s="1"/>
  <c r="BB125" i="1"/>
  <c r="G125" i="1" l="1"/>
  <c r="E125" i="1" s="1"/>
  <c r="O125" i="1"/>
  <c r="H125" i="1" l="1"/>
  <c r="T124" i="1" s="1"/>
  <c r="I125" i="1"/>
  <c r="AZ125" i="1" l="1"/>
  <c r="BA125" i="1" s="1"/>
  <c r="M125" i="1"/>
  <c r="P125" i="1" s="1"/>
  <c r="J125" i="1"/>
  <c r="D126" i="1" s="1"/>
  <c r="K126" i="1"/>
  <c r="D239" i="1" l="1"/>
  <c r="D238" i="1"/>
  <c r="Q125" i="1"/>
  <c r="L126" i="1"/>
  <c r="N126" i="1" s="1"/>
  <c r="U125" i="1" l="1"/>
  <c r="X125" i="1"/>
  <c r="V125" i="1"/>
  <c r="W125" i="1"/>
  <c r="B126" i="1"/>
  <c r="R126" i="1"/>
  <c r="S126" i="1" s="1"/>
  <c r="BB126" i="1"/>
  <c r="G126" i="1" l="1"/>
  <c r="E126" i="1" s="1"/>
  <c r="O126" i="1"/>
  <c r="H126" i="1" l="1"/>
  <c r="T125" i="1" s="1"/>
  <c r="I126" i="1"/>
  <c r="AZ126" i="1" l="1"/>
  <c r="BA126" i="1" s="1"/>
  <c r="M126" i="1"/>
  <c r="P126" i="1" s="1"/>
  <c r="J126" i="1"/>
  <c r="D127" i="1" s="1"/>
  <c r="K127" i="1"/>
  <c r="L127" i="1" l="1"/>
  <c r="N127" i="1" s="1"/>
  <c r="Q126" i="1"/>
  <c r="D240" i="1"/>
  <c r="D241" i="1"/>
  <c r="V126" i="1" l="1"/>
  <c r="U126" i="1"/>
  <c r="X126" i="1"/>
  <c r="W126" i="1"/>
  <c r="B127" i="1"/>
  <c r="R127" i="1"/>
  <c r="S127" i="1" s="1"/>
  <c r="BB127" i="1"/>
  <c r="G127" i="1" l="1"/>
  <c r="E127" i="1" s="1"/>
  <c r="O127" i="1"/>
  <c r="H127" i="1" l="1"/>
  <c r="T126" i="1" s="1"/>
  <c r="I127" i="1"/>
  <c r="AZ127" i="1" l="1"/>
  <c r="BA127" i="1" s="1"/>
  <c r="M127" i="1"/>
  <c r="P127" i="1" s="1"/>
  <c r="J127" i="1"/>
  <c r="D128" i="1" s="1"/>
  <c r="K128" i="1"/>
  <c r="D243" i="1" l="1"/>
  <c r="Q127" i="1"/>
  <c r="D242" i="1"/>
  <c r="L128" i="1"/>
  <c r="N128" i="1" s="1"/>
  <c r="V127" i="1" l="1"/>
  <c r="W127" i="1"/>
  <c r="U127" i="1"/>
  <c r="X127" i="1"/>
  <c r="B128" i="1"/>
  <c r="BB128" i="1"/>
  <c r="R128" i="1"/>
  <c r="S128" i="1" s="1"/>
  <c r="G128" i="1" l="1"/>
  <c r="E128" i="1" s="1"/>
  <c r="O128" i="1"/>
  <c r="I128" i="1" l="1"/>
  <c r="H128" i="1"/>
  <c r="T127" i="1" s="1"/>
  <c r="AZ128" i="1" l="1"/>
  <c r="BA128" i="1" s="1"/>
  <c r="M128" i="1"/>
  <c r="P128" i="1" s="1"/>
  <c r="J128" i="1"/>
  <c r="D129" i="1" s="1"/>
  <c r="K129" i="1"/>
  <c r="D245" i="1" l="1"/>
  <c r="D244" i="1"/>
  <c r="Q128" i="1"/>
  <c r="L129" i="1"/>
  <c r="N129" i="1" s="1"/>
  <c r="V128" i="1" l="1"/>
  <c r="X128" i="1"/>
  <c r="U128" i="1"/>
  <c r="W128" i="1"/>
  <c r="B129" i="1"/>
  <c r="R129" i="1"/>
  <c r="S129" i="1" s="1"/>
  <c r="BB129" i="1"/>
  <c r="G129" i="1" l="1"/>
  <c r="E129" i="1" s="1"/>
  <c r="O129" i="1"/>
  <c r="I129" i="1" l="1"/>
  <c r="H129" i="1"/>
  <c r="T128" i="1" s="1"/>
  <c r="AZ129" i="1" l="1"/>
  <c r="BA129" i="1" s="1"/>
  <c r="M129" i="1"/>
  <c r="P129" i="1" s="1"/>
  <c r="J129" i="1"/>
  <c r="D130" i="1" s="1"/>
  <c r="K130" i="1"/>
  <c r="L130" i="1" l="1"/>
  <c r="N130" i="1" s="1"/>
  <c r="Q129" i="1"/>
  <c r="D247" i="1"/>
  <c r="D246" i="1"/>
  <c r="V129" i="1" l="1"/>
  <c r="U129" i="1"/>
  <c r="X129" i="1"/>
  <c r="W129" i="1"/>
  <c r="B130" i="1"/>
  <c r="R130" i="1"/>
  <c r="S130" i="1" s="1"/>
  <c r="BB130" i="1"/>
  <c r="G130" i="1" l="1"/>
  <c r="E130" i="1" s="1"/>
  <c r="O130" i="1"/>
  <c r="H130" i="1" l="1"/>
  <c r="T129" i="1" s="1"/>
  <c r="I130" i="1"/>
  <c r="AZ130" i="1" l="1"/>
  <c r="BA130" i="1" s="1"/>
  <c r="M130" i="1"/>
  <c r="P130" i="1" s="1"/>
  <c r="J130" i="1"/>
  <c r="D131" i="1" s="1"/>
  <c r="K131" i="1"/>
  <c r="D249" i="1" l="1"/>
  <c r="Q130" i="1"/>
  <c r="D248" i="1"/>
  <c r="L131" i="1"/>
  <c r="N131" i="1" s="1"/>
  <c r="V130" i="1" l="1"/>
  <c r="U130" i="1"/>
  <c r="X130" i="1"/>
  <c r="W130" i="1"/>
  <c r="B131" i="1"/>
  <c r="BB131" i="1"/>
  <c r="R131" i="1"/>
  <c r="S131" i="1" s="1"/>
  <c r="G131" i="1" l="1"/>
  <c r="E131" i="1" s="1"/>
  <c r="O131" i="1"/>
  <c r="I131" i="1" l="1"/>
  <c r="H131" i="1"/>
  <c r="T130" i="1" s="1"/>
  <c r="AZ131" i="1" l="1"/>
  <c r="BA131" i="1" s="1"/>
  <c r="M131" i="1"/>
  <c r="P131" i="1" s="1"/>
  <c r="J131" i="1"/>
  <c r="D132" i="1" s="1"/>
  <c r="K132" i="1"/>
  <c r="L132" i="1" l="1"/>
  <c r="N132" i="1" s="1"/>
  <c r="Q131" i="1"/>
  <c r="D250" i="1"/>
  <c r="D251" i="1"/>
  <c r="V131" i="1" l="1"/>
  <c r="U131" i="1"/>
  <c r="W131" i="1"/>
  <c r="X131" i="1"/>
  <c r="B132" i="1"/>
  <c r="R132" i="1"/>
  <c r="S132" i="1" s="1"/>
  <c r="BB132" i="1"/>
  <c r="G132" i="1" l="1"/>
  <c r="E132" i="1" s="1"/>
  <c r="O132" i="1"/>
  <c r="H132" i="1" l="1"/>
  <c r="T131" i="1" s="1"/>
  <c r="I132" i="1"/>
  <c r="AZ132" i="1" l="1"/>
  <c r="BA132" i="1" s="1"/>
  <c r="M132" i="1"/>
  <c r="P132" i="1" s="1"/>
  <c r="J132" i="1"/>
  <c r="D133" i="1" s="1"/>
  <c r="K133" i="1"/>
  <c r="Q132" i="1" l="1"/>
  <c r="D253" i="1"/>
  <c r="D252" i="1"/>
  <c r="L133" i="1"/>
  <c r="N133" i="1" s="1"/>
  <c r="W132" i="1" l="1"/>
  <c r="V132" i="1"/>
  <c r="X132" i="1"/>
  <c r="U132" i="1"/>
  <c r="B133" i="1"/>
  <c r="BB133" i="1"/>
  <c r="R133" i="1"/>
  <c r="S133" i="1" s="1"/>
  <c r="G133" i="1" l="1"/>
  <c r="E133" i="1" s="1"/>
  <c r="O133" i="1"/>
  <c r="I133" i="1" l="1"/>
  <c r="H133" i="1"/>
  <c r="T132" i="1" s="1"/>
  <c r="AZ133" i="1" l="1"/>
  <c r="BA133" i="1" s="1"/>
  <c r="M133" i="1"/>
  <c r="P133" i="1" s="1"/>
  <c r="J133" i="1"/>
  <c r="D134" i="1" s="1"/>
  <c r="K134" i="1"/>
  <c r="L134" i="1" l="1"/>
  <c r="N134" i="1" s="1"/>
  <c r="Q133" i="1"/>
  <c r="D255" i="1"/>
  <c r="D254" i="1"/>
  <c r="U133" i="1" l="1"/>
  <c r="X133" i="1"/>
  <c r="V133" i="1"/>
  <c r="W133" i="1"/>
  <c r="B134" i="1"/>
  <c r="BB134" i="1"/>
  <c r="R134" i="1"/>
  <c r="S134" i="1" s="1"/>
  <c r="G134" i="1" l="1"/>
  <c r="E134" i="1" s="1"/>
  <c r="O134" i="1"/>
  <c r="H134" i="1" l="1"/>
  <c r="T133" i="1" s="1"/>
  <c r="I134" i="1"/>
  <c r="AZ134" i="1" l="1"/>
  <c r="BA134" i="1" s="1"/>
  <c r="M134" i="1"/>
  <c r="P134" i="1" s="1"/>
  <c r="J134" i="1"/>
  <c r="D135" i="1" s="1"/>
  <c r="K135" i="1"/>
  <c r="L135" i="1" l="1"/>
  <c r="N135" i="1" s="1"/>
  <c r="D257" i="1"/>
  <c r="Q134" i="1"/>
  <c r="D256" i="1"/>
  <c r="X134" i="1" l="1"/>
  <c r="V134" i="1"/>
  <c r="W134" i="1"/>
  <c r="U134" i="1"/>
  <c r="B135" i="1"/>
  <c r="R135" i="1"/>
  <c r="S135" i="1" s="1"/>
  <c r="BB135" i="1"/>
  <c r="G135" i="1" l="1"/>
  <c r="E135" i="1" s="1"/>
  <c r="O135" i="1"/>
  <c r="H135" i="1" l="1"/>
  <c r="T134" i="1" s="1"/>
  <c r="I135" i="1"/>
  <c r="AZ135" i="1" l="1"/>
  <c r="BA135" i="1" s="1"/>
  <c r="M135" i="1"/>
  <c r="P135" i="1" s="1"/>
  <c r="J135" i="1"/>
  <c r="D136" i="1" s="1"/>
  <c r="K136" i="1"/>
  <c r="D258" i="1" l="1"/>
  <c r="D259" i="1"/>
  <c r="Q135" i="1"/>
  <c r="L136" i="1"/>
  <c r="N136" i="1" s="1"/>
  <c r="X135" i="1" l="1"/>
  <c r="U135" i="1"/>
  <c r="V135" i="1"/>
  <c r="W135" i="1"/>
  <c r="B136" i="1"/>
  <c r="BB136" i="1"/>
  <c r="R136" i="1"/>
  <c r="S136" i="1" s="1"/>
  <c r="G136" i="1" l="1"/>
  <c r="E136" i="1" s="1"/>
  <c r="O136" i="1"/>
  <c r="H136" i="1" l="1"/>
  <c r="T135" i="1" s="1"/>
  <c r="I136" i="1"/>
  <c r="AZ136" i="1" l="1"/>
  <c r="BA136" i="1" s="1"/>
  <c r="M136" i="1"/>
  <c r="P136" i="1" s="1"/>
  <c r="J136" i="1"/>
  <c r="D137" i="1" s="1"/>
  <c r="K137" i="1"/>
  <c r="Q136" i="1" l="1"/>
  <c r="D260" i="1"/>
  <c r="L137" i="1"/>
  <c r="N137" i="1" s="1"/>
  <c r="V136" i="1" l="1"/>
  <c r="X136" i="1"/>
  <c r="U136" i="1"/>
  <c r="W136" i="1"/>
  <c r="B137" i="1"/>
  <c r="BB137" i="1"/>
  <c r="R137" i="1"/>
  <c r="S137" i="1" s="1"/>
  <c r="G137" i="1" l="1"/>
  <c r="E137" i="1" s="1"/>
  <c r="O137" i="1"/>
  <c r="H137" i="1" l="1"/>
  <c r="T136" i="1" s="1"/>
  <c r="I137" i="1"/>
  <c r="AZ137" i="1" l="1"/>
  <c r="BA137" i="1" s="1"/>
  <c r="M137" i="1"/>
  <c r="P137" i="1" s="1"/>
  <c r="J137" i="1"/>
  <c r="D138" i="1" s="1"/>
  <c r="K138" i="1"/>
  <c r="D262" i="1" l="1"/>
  <c r="Q137" i="1"/>
  <c r="D261" i="1"/>
  <c r="L138" i="1"/>
  <c r="N138" i="1" s="1"/>
  <c r="U137" i="1" l="1"/>
  <c r="V137" i="1"/>
  <c r="X137" i="1"/>
  <c r="W137" i="1"/>
  <c r="B138" i="1"/>
  <c r="R138" i="1"/>
  <c r="S138" i="1" s="1"/>
  <c r="BB138" i="1"/>
  <c r="G138" i="1" l="1"/>
  <c r="E138" i="1" s="1"/>
  <c r="O138" i="1"/>
  <c r="H138" i="1" l="1"/>
  <c r="T137" i="1" s="1"/>
  <c r="I138" i="1"/>
  <c r="AZ138" i="1" l="1"/>
  <c r="BA138" i="1" s="1"/>
  <c r="M138" i="1"/>
  <c r="P138" i="1" s="1"/>
  <c r="J138" i="1"/>
  <c r="D139" i="1" s="1"/>
  <c r="K139" i="1"/>
  <c r="D264" i="1" l="1"/>
  <c r="Q138" i="1"/>
  <c r="D263" i="1"/>
  <c r="L139" i="1"/>
  <c r="N139" i="1" s="1"/>
  <c r="V138" i="1" l="1"/>
  <c r="X138" i="1"/>
  <c r="U138" i="1"/>
  <c r="W138" i="1"/>
  <c r="B139" i="1"/>
  <c r="R139" i="1"/>
  <c r="S139" i="1" s="1"/>
  <c r="BB139" i="1"/>
  <c r="G139" i="1" l="1"/>
  <c r="E139" i="1" s="1"/>
  <c r="O139" i="1"/>
  <c r="I139" i="1" l="1"/>
  <c r="H139" i="1"/>
  <c r="T138" i="1" s="1"/>
  <c r="AZ139" i="1" l="1"/>
  <c r="BA139" i="1" s="1"/>
  <c r="M139" i="1"/>
  <c r="P139" i="1" s="1"/>
  <c r="J139" i="1"/>
  <c r="D140" i="1" s="1"/>
  <c r="K140" i="1"/>
  <c r="D266" i="1" l="1"/>
  <c r="D265" i="1"/>
  <c r="Q139" i="1"/>
  <c r="L140" i="1"/>
  <c r="N140" i="1" s="1"/>
  <c r="X139" i="1" l="1"/>
  <c r="U139" i="1"/>
  <c r="W139" i="1"/>
  <c r="V139" i="1"/>
  <c r="B140" i="1"/>
  <c r="R140" i="1"/>
  <c r="S140" i="1" s="1"/>
  <c r="BB140" i="1"/>
  <c r="G140" i="1" l="1"/>
  <c r="E140" i="1" s="1"/>
  <c r="O140" i="1"/>
  <c r="H140" i="1" l="1"/>
  <c r="T139" i="1" s="1"/>
  <c r="I140" i="1"/>
  <c r="AZ140" i="1" l="1"/>
  <c r="BA140" i="1" s="1"/>
  <c r="M140" i="1"/>
  <c r="P140" i="1" s="1"/>
  <c r="J140" i="1"/>
  <c r="D141" i="1" s="1"/>
  <c r="K141" i="1"/>
  <c r="L141" i="1" l="1"/>
  <c r="N141" i="1" s="1"/>
  <c r="Q140" i="1"/>
  <c r="D267" i="1"/>
  <c r="D268" i="1"/>
  <c r="W140" i="1" l="1"/>
  <c r="U140" i="1"/>
  <c r="X140" i="1"/>
  <c r="V140" i="1"/>
  <c r="B141" i="1"/>
  <c r="R141" i="1"/>
  <c r="S141" i="1" s="1"/>
  <c r="BB141" i="1"/>
  <c r="G141" i="1" l="1"/>
  <c r="E141" i="1" s="1"/>
  <c r="O141" i="1"/>
  <c r="I141" i="1" l="1"/>
  <c r="H141" i="1"/>
  <c r="T140" i="1" s="1"/>
  <c r="AZ141" i="1" l="1"/>
  <c r="BA141" i="1" s="1"/>
  <c r="M141" i="1"/>
  <c r="P141" i="1" s="1"/>
  <c r="J141" i="1"/>
  <c r="D142" i="1" s="1"/>
  <c r="K142" i="1"/>
  <c r="L142" i="1" l="1"/>
  <c r="N142" i="1" s="1"/>
  <c r="Q141" i="1"/>
  <c r="D270" i="1"/>
  <c r="D269" i="1"/>
  <c r="V141" i="1" l="1"/>
  <c r="U141" i="1"/>
  <c r="W141" i="1"/>
  <c r="X141" i="1"/>
  <c r="B142" i="1"/>
  <c r="BB142" i="1"/>
  <c r="R142" i="1"/>
  <c r="S142" i="1" s="1"/>
  <c r="G142" i="1" l="1"/>
  <c r="E142" i="1" s="1"/>
  <c r="O142" i="1"/>
  <c r="H142" i="1" l="1"/>
  <c r="T141" i="1" s="1"/>
  <c r="I142" i="1"/>
  <c r="AZ142" i="1" l="1"/>
  <c r="BA142" i="1" s="1"/>
  <c r="M142" i="1"/>
  <c r="P142" i="1" s="1"/>
  <c r="J142" i="1"/>
  <c r="D143" i="1" s="1"/>
  <c r="K143" i="1"/>
  <c r="D271" i="1" l="1"/>
  <c r="Q142" i="1"/>
  <c r="D272" i="1"/>
  <c r="L143" i="1"/>
  <c r="N143" i="1" s="1"/>
  <c r="X142" i="1" l="1"/>
  <c r="U142" i="1"/>
  <c r="W142" i="1"/>
  <c r="V142" i="1"/>
  <c r="B143" i="1"/>
  <c r="BB143" i="1"/>
  <c r="R143" i="1"/>
  <c r="S143" i="1" s="1"/>
  <c r="G143" i="1" l="1"/>
  <c r="E143" i="1" s="1"/>
  <c r="O143" i="1"/>
  <c r="I143" i="1" l="1"/>
  <c r="H143" i="1"/>
  <c r="T142" i="1" s="1"/>
  <c r="AZ143" i="1" l="1"/>
  <c r="BA143" i="1" s="1"/>
  <c r="M143" i="1"/>
  <c r="P143" i="1" s="1"/>
  <c r="J143" i="1"/>
  <c r="D144" i="1" s="1"/>
  <c r="K144" i="1"/>
  <c r="L144" i="1" l="1"/>
  <c r="N144" i="1" s="1"/>
  <c r="Q143" i="1"/>
  <c r="D274" i="1"/>
  <c r="D273" i="1"/>
  <c r="W143" i="1" l="1"/>
  <c r="X143" i="1"/>
  <c r="U143" i="1"/>
  <c r="V143" i="1"/>
  <c r="B144" i="1"/>
  <c r="BB144" i="1"/>
  <c r="R144" i="1"/>
  <c r="S144" i="1" s="1"/>
  <c r="G144" i="1" l="1"/>
  <c r="E144" i="1" s="1"/>
  <c r="O144" i="1"/>
  <c r="I144" i="1" l="1"/>
  <c r="H144" i="1"/>
  <c r="T143" i="1" s="1"/>
  <c r="AZ144" i="1" l="1"/>
  <c r="BA144" i="1" s="1"/>
  <c r="M144" i="1"/>
  <c r="P144" i="1" s="1"/>
  <c r="J144" i="1"/>
  <c r="D145" i="1" s="1"/>
  <c r="K145" i="1"/>
  <c r="L145" i="1" l="1"/>
  <c r="N145" i="1" s="1"/>
  <c r="D276" i="1"/>
  <c r="Q144" i="1"/>
  <c r="D275" i="1"/>
  <c r="X144" i="1" l="1"/>
  <c r="U144" i="1"/>
  <c r="V144" i="1"/>
  <c r="W144" i="1"/>
  <c r="B145" i="1"/>
  <c r="R145" i="1"/>
  <c r="S145" i="1" s="1"/>
  <c r="BB145" i="1"/>
  <c r="G145" i="1" l="1"/>
  <c r="E145" i="1" s="1"/>
  <c r="O145" i="1"/>
  <c r="I145" i="1" l="1"/>
  <c r="H145" i="1"/>
  <c r="T144" i="1" s="1"/>
  <c r="AZ145" i="1" l="1"/>
  <c r="BA145" i="1" s="1"/>
  <c r="M145" i="1"/>
  <c r="P145" i="1" s="1"/>
  <c r="J145" i="1"/>
  <c r="D146" i="1" s="1"/>
  <c r="K146" i="1"/>
  <c r="L146" i="1" l="1"/>
  <c r="N146" i="1" s="1"/>
  <c r="D278" i="1"/>
  <c r="Q145" i="1"/>
  <c r="D277" i="1"/>
  <c r="V145" i="1" l="1"/>
  <c r="X145" i="1"/>
  <c r="U145" i="1"/>
  <c r="W145" i="1"/>
  <c r="B146" i="1"/>
  <c r="BB146" i="1"/>
  <c r="R146" i="1"/>
  <c r="S146" i="1" s="1"/>
  <c r="G146" i="1" l="1"/>
  <c r="E146" i="1" s="1"/>
  <c r="O146" i="1"/>
  <c r="I146" i="1" l="1"/>
  <c r="H146" i="1"/>
  <c r="T145" i="1" s="1"/>
  <c r="AZ146" i="1" l="1"/>
  <c r="BA146" i="1" s="1"/>
  <c r="M146" i="1"/>
  <c r="P146" i="1" s="1"/>
  <c r="J146" i="1"/>
  <c r="D147" i="1" s="1"/>
  <c r="K147" i="1"/>
  <c r="Q146" i="1" l="1"/>
  <c r="D279" i="1"/>
  <c r="D280" i="1"/>
  <c r="L147" i="1"/>
  <c r="N147" i="1" s="1"/>
  <c r="U146" i="1" l="1"/>
  <c r="X146" i="1"/>
  <c r="V146" i="1"/>
  <c r="W146" i="1"/>
  <c r="B147" i="1"/>
  <c r="R147" i="1"/>
  <c r="S147" i="1" s="1"/>
  <c r="BB147" i="1"/>
  <c r="G147" i="1" l="1"/>
  <c r="E147" i="1" s="1"/>
  <c r="O147" i="1"/>
  <c r="I147" i="1" l="1"/>
  <c r="H147" i="1"/>
  <c r="T146" i="1" s="1"/>
  <c r="AZ147" i="1" l="1"/>
  <c r="BA147" i="1" s="1"/>
  <c r="M147" i="1"/>
  <c r="P147" i="1" s="1"/>
  <c r="J147" i="1"/>
  <c r="D148" i="1" s="1"/>
  <c r="K148" i="1"/>
  <c r="D281" i="1" l="1"/>
  <c r="Q147" i="1"/>
  <c r="D282" i="1"/>
  <c r="L148" i="1"/>
  <c r="N148" i="1" s="1"/>
  <c r="W147" i="1" l="1"/>
  <c r="X147" i="1"/>
  <c r="V147" i="1"/>
  <c r="U147" i="1"/>
  <c r="B148" i="1"/>
  <c r="BB148" i="1"/>
  <c r="R148" i="1"/>
  <c r="S148" i="1" s="1"/>
  <c r="G148" i="1" l="1"/>
  <c r="E148" i="1" s="1"/>
  <c r="O148" i="1"/>
  <c r="I148" i="1" l="1"/>
  <c r="H148" i="1"/>
  <c r="T147" i="1" s="1"/>
  <c r="AZ148" i="1" l="1"/>
  <c r="BA148" i="1" s="1"/>
  <c r="M148" i="1"/>
  <c r="P148" i="1" s="1"/>
  <c r="J148" i="1"/>
  <c r="D149" i="1" s="1"/>
  <c r="K149" i="1"/>
  <c r="L149" i="1" l="1"/>
  <c r="N149" i="1" s="1"/>
  <c r="D284" i="1"/>
  <c r="D283" i="1"/>
  <c r="Q148" i="1"/>
  <c r="V148" i="1" l="1"/>
  <c r="U148" i="1"/>
  <c r="X148" i="1"/>
  <c r="W148" i="1"/>
  <c r="B149" i="1"/>
  <c r="BB149" i="1"/>
  <c r="R149" i="1"/>
  <c r="S149" i="1" s="1"/>
  <c r="G149" i="1" l="1"/>
  <c r="E149" i="1" s="1"/>
  <c r="O149" i="1"/>
  <c r="H149" i="1" l="1"/>
  <c r="T148" i="1" s="1"/>
  <c r="I149" i="1"/>
  <c r="AZ149" i="1" l="1"/>
  <c r="BA149" i="1" s="1"/>
  <c r="M149" i="1"/>
  <c r="P149" i="1" s="1"/>
  <c r="J149" i="1"/>
  <c r="D150" i="1" s="1"/>
  <c r="K150" i="1"/>
  <c r="D285" i="1" l="1"/>
  <c r="D286" i="1"/>
  <c r="Q149" i="1"/>
  <c r="L150" i="1"/>
  <c r="N150" i="1" s="1"/>
  <c r="U149" i="1" l="1"/>
  <c r="X149" i="1"/>
  <c r="V149" i="1"/>
  <c r="W149" i="1"/>
  <c r="B150" i="1"/>
  <c r="BB150" i="1"/>
  <c r="R150" i="1"/>
  <c r="S150" i="1" s="1"/>
  <c r="G150" i="1" l="1"/>
  <c r="E150" i="1" s="1"/>
  <c r="O150" i="1"/>
  <c r="I150" i="1" l="1"/>
  <c r="H150" i="1"/>
  <c r="T149" i="1" s="1"/>
  <c r="AZ150" i="1" l="1"/>
  <c r="BA150" i="1" s="1"/>
  <c r="M150" i="1"/>
  <c r="P150" i="1" s="1"/>
  <c r="J150" i="1"/>
  <c r="D151" i="1" s="1"/>
  <c r="K151" i="1"/>
  <c r="L151" i="1" l="1"/>
  <c r="N151" i="1" s="1"/>
  <c r="D287" i="1"/>
  <c r="D288" i="1"/>
  <c r="Q150" i="1"/>
  <c r="U150" i="1" l="1"/>
  <c r="X150" i="1"/>
  <c r="V150" i="1"/>
  <c r="W150" i="1"/>
  <c r="B151" i="1"/>
  <c r="R151" i="1"/>
  <c r="S151" i="1" s="1"/>
  <c r="BB151" i="1"/>
  <c r="G151" i="1" l="1"/>
  <c r="E151" i="1" s="1"/>
  <c r="O151" i="1"/>
  <c r="I151" i="1" l="1"/>
  <c r="H151" i="1"/>
  <c r="T150" i="1" s="1"/>
  <c r="AZ151" i="1" l="1"/>
  <c r="BA151" i="1" s="1"/>
  <c r="M151" i="1"/>
  <c r="P151" i="1" s="1"/>
  <c r="J151" i="1"/>
  <c r="D152" i="1" s="1"/>
  <c r="K152" i="1"/>
  <c r="L152" i="1" l="1"/>
  <c r="N152" i="1" s="1"/>
  <c r="D289" i="1"/>
  <c r="D290" i="1"/>
  <c r="Q151" i="1"/>
  <c r="X151" i="1" l="1"/>
  <c r="V151" i="1"/>
  <c r="W151" i="1"/>
  <c r="U151" i="1"/>
  <c r="B152" i="1"/>
  <c r="BB152" i="1"/>
  <c r="R152" i="1"/>
  <c r="S152" i="1" s="1"/>
  <c r="G152" i="1" l="1"/>
  <c r="E152" i="1" s="1"/>
  <c r="O152" i="1"/>
  <c r="I152" i="1" l="1"/>
  <c r="H152" i="1"/>
  <c r="T151" i="1" s="1"/>
  <c r="AZ152" i="1" l="1"/>
  <c r="BA152" i="1" s="1"/>
  <c r="M152" i="1"/>
  <c r="P152" i="1" s="1"/>
  <c r="J152" i="1"/>
  <c r="D153" i="1" s="1"/>
  <c r="K153" i="1"/>
  <c r="L153" i="1" l="1"/>
  <c r="N153" i="1" s="1"/>
  <c r="D292" i="1"/>
  <c r="Q152" i="1"/>
  <c r="D291" i="1"/>
  <c r="V152" i="1" l="1"/>
  <c r="X152" i="1"/>
  <c r="U152" i="1"/>
  <c r="W152" i="1"/>
  <c r="B153" i="1"/>
  <c r="R153" i="1"/>
  <c r="S153" i="1" s="1"/>
  <c r="BB153" i="1"/>
  <c r="G153" i="1" l="1"/>
  <c r="E153" i="1" s="1"/>
  <c r="O153" i="1"/>
  <c r="H153" i="1" l="1"/>
  <c r="T152" i="1" s="1"/>
  <c r="I153" i="1"/>
  <c r="AZ153" i="1" l="1"/>
  <c r="BA153" i="1" s="1"/>
  <c r="M153" i="1"/>
  <c r="P153" i="1" s="1"/>
  <c r="J153" i="1"/>
  <c r="D154" i="1" s="1"/>
  <c r="K154" i="1"/>
  <c r="D293" i="1" l="1"/>
  <c r="D294" i="1"/>
  <c r="Q153" i="1"/>
  <c r="L154" i="1"/>
  <c r="N154" i="1" s="1"/>
  <c r="V153" i="1" l="1"/>
  <c r="U153" i="1"/>
  <c r="W153" i="1"/>
  <c r="X153" i="1"/>
  <c r="B154" i="1"/>
  <c r="BB154" i="1"/>
  <c r="R154" i="1"/>
  <c r="S154" i="1" s="1"/>
  <c r="G154" i="1" l="1"/>
  <c r="E154" i="1" s="1"/>
  <c r="O154" i="1"/>
  <c r="I154" i="1" l="1"/>
  <c r="H154" i="1"/>
  <c r="T153" i="1" s="1"/>
  <c r="AZ154" i="1" l="1"/>
  <c r="BA154" i="1" s="1"/>
  <c r="M154" i="1"/>
  <c r="P154" i="1" s="1"/>
  <c r="J154" i="1"/>
  <c r="D155" i="1" s="1"/>
  <c r="K155" i="1"/>
  <c r="L155" i="1" l="1"/>
  <c r="N155" i="1" s="1"/>
  <c r="Q154" i="1"/>
  <c r="D296" i="1"/>
  <c r="D295" i="1"/>
  <c r="V154" i="1" l="1"/>
  <c r="U154" i="1"/>
  <c r="X154" i="1"/>
  <c r="W154" i="1"/>
  <c r="B155" i="1"/>
  <c r="R155" i="1"/>
  <c r="S155" i="1" s="1"/>
  <c r="BB155" i="1"/>
  <c r="G155" i="1" l="1"/>
  <c r="E155" i="1" s="1"/>
  <c r="O155" i="1"/>
  <c r="I155" i="1" l="1"/>
  <c r="H155" i="1"/>
  <c r="T154" i="1" s="1"/>
  <c r="AZ155" i="1" l="1"/>
  <c r="BA155" i="1" s="1"/>
  <c r="M155" i="1"/>
  <c r="P155" i="1" s="1"/>
  <c r="J155" i="1"/>
  <c r="D156" i="1" s="1"/>
  <c r="K156" i="1"/>
  <c r="L156" i="1" l="1"/>
  <c r="N156" i="1" s="1"/>
  <c r="D298" i="1"/>
  <c r="Q155" i="1"/>
  <c r="D297" i="1"/>
  <c r="V155" i="1" l="1"/>
  <c r="X155" i="1"/>
  <c r="U155" i="1"/>
  <c r="W155" i="1"/>
  <c r="B156" i="1"/>
  <c r="BB156" i="1"/>
  <c r="R156" i="1"/>
  <c r="S156" i="1" s="1"/>
  <c r="G156" i="1" l="1"/>
  <c r="E156" i="1" s="1"/>
  <c r="O156" i="1"/>
  <c r="I156" i="1" l="1"/>
  <c r="H156" i="1"/>
  <c r="T155" i="1" s="1"/>
  <c r="AZ156" i="1" l="1"/>
  <c r="BA156" i="1" s="1"/>
  <c r="M156" i="1"/>
  <c r="P156" i="1" s="1"/>
  <c r="J156" i="1"/>
  <c r="D157" i="1" s="1"/>
  <c r="K157" i="1"/>
  <c r="L157" i="1" l="1"/>
  <c r="N157" i="1" s="1"/>
  <c r="Q156" i="1"/>
  <c r="D300" i="1"/>
  <c r="D299" i="1"/>
  <c r="V156" i="1" l="1"/>
  <c r="W156" i="1"/>
  <c r="X156" i="1"/>
  <c r="U156" i="1"/>
  <c r="B157" i="1"/>
  <c r="BB157" i="1"/>
  <c r="R157" i="1"/>
  <c r="S157" i="1" s="1"/>
  <c r="G157" i="1" l="1"/>
  <c r="E157" i="1" s="1"/>
  <c r="O157" i="1"/>
  <c r="I157" i="1" l="1"/>
  <c r="H157" i="1"/>
  <c r="T156" i="1" s="1"/>
  <c r="AZ157" i="1" l="1"/>
  <c r="BA157" i="1" s="1"/>
  <c r="M157" i="1"/>
  <c r="P157" i="1" s="1"/>
  <c r="J157" i="1"/>
  <c r="D158" i="1" s="1"/>
  <c r="K158" i="1"/>
  <c r="L158" i="1" l="1"/>
  <c r="N158" i="1" s="1"/>
  <c r="D302" i="1"/>
  <c r="Q157" i="1"/>
  <c r="D301" i="1"/>
  <c r="V157" i="1" l="1"/>
  <c r="X157" i="1"/>
  <c r="U157" i="1"/>
  <c r="W157" i="1"/>
  <c r="B158" i="1"/>
  <c r="R158" i="1"/>
  <c r="S158" i="1" s="1"/>
  <c r="BB158" i="1"/>
  <c r="G158" i="1" l="1"/>
  <c r="E158" i="1" s="1"/>
  <c r="O158" i="1"/>
  <c r="H158" i="1" l="1"/>
  <c r="T157" i="1" s="1"/>
  <c r="I158" i="1"/>
  <c r="AZ158" i="1" l="1"/>
  <c r="BA158" i="1" s="1"/>
  <c r="M158" i="1"/>
  <c r="P158" i="1" s="1"/>
  <c r="J158" i="1"/>
  <c r="D159" i="1" s="1"/>
  <c r="K159" i="1"/>
  <c r="D304" i="1" l="1"/>
  <c r="Q158" i="1"/>
  <c r="D303" i="1"/>
  <c r="L159" i="1"/>
  <c r="N159" i="1" s="1"/>
  <c r="V158" i="1" l="1"/>
  <c r="X158" i="1"/>
  <c r="W158" i="1"/>
  <c r="U158" i="1"/>
  <c r="B159" i="1"/>
  <c r="R159" i="1"/>
  <c r="S159" i="1" s="1"/>
  <c r="BB159" i="1"/>
  <c r="G159" i="1" l="1"/>
  <c r="E159" i="1" s="1"/>
  <c r="O159" i="1"/>
  <c r="I159" i="1" l="1"/>
  <c r="H159" i="1"/>
  <c r="T158" i="1" s="1"/>
  <c r="AZ159" i="1" l="1"/>
  <c r="BA159" i="1" s="1"/>
  <c r="M159" i="1"/>
  <c r="P159" i="1" s="1"/>
  <c r="J159" i="1"/>
  <c r="D160" i="1" s="1"/>
  <c r="K160" i="1"/>
  <c r="L160" i="1" l="1"/>
  <c r="N160" i="1" s="1"/>
  <c r="Q159" i="1"/>
  <c r="D305" i="1"/>
  <c r="D306" i="1"/>
  <c r="W159" i="1" l="1"/>
  <c r="X159" i="1"/>
  <c r="V159" i="1"/>
  <c r="U159" i="1"/>
  <c r="B160" i="1"/>
  <c r="BB160" i="1"/>
  <c r="R160" i="1"/>
  <c r="S160" i="1" s="1"/>
  <c r="G160" i="1" l="1"/>
  <c r="E160" i="1" s="1"/>
  <c r="O160" i="1"/>
  <c r="I160" i="1" l="1"/>
  <c r="H160" i="1"/>
  <c r="T159" i="1" s="1"/>
  <c r="AZ160" i="1" l="1"/>
  <c r="BA160" i="1" s="1"/>
  <c r="M160" i="1"/>
  <c r="P160" i="1" s="1"/>
  <c r="J160" i="1"/>
  <c r="D161" i="1" s="1"/>
  <c r="K161" i="1"/>
  <c r="L161" i="1" l="1"/>
  <c r="N161" i="1" s="1"/>
  <c r="D308" i="1"/>
  <c r="Q160" i="1"/>
  <c r="D307" i="1"/>
  <c r="V160" i="1" l="1"/>
  <c r="X160" i="1"/>
  <c r="U160" i="1"/>
  <c r="W160" i="1"/>
  <c r="B161" i="1"/>
  <c r="BB161" i="1"/>
  <c r="R161" i="1"/>
  <c r="S161" i="1" s="1"/>
  <c r="G161" i="1" l="1"/>
  <c r="E161" i="1" s="1"/>
  <c r="O161" i="1"/>
  <c r="I161" i="1" l="1"/>
  <c r="H161" i="1"/>
  <c r="T160" i="1" s="1"/>
  <c r="AZ161" i="1" l="1"/>
  <c r="BA161" i="1" s="1"/>
  <c r="M161" i="1"/>
  <c r="P161" i="1" s="1"/>
  <c r="J161" i="1"/>
  <c r="D162" i="1" s="1"/>
  <c r="K162" i="1"/>
  <c r="Q161" i="1" l="1"/>
  <c r="D309" i="1"/>
  <c r="D310" i="1"/>
  <c r="L162" i="1"/>
  <c r="N162" i="1" s="1"/>
  <c r="W161" i="1" l="1"/>
  <c r="U161" i="1"/>
  <c r="V161" i="1"/>
  <c r="X161" i="1"/>
  <c r="B162" i="1"/>
  <c r="R162" i="1"/>
  <c r="S162" i="1" s="1"/>
  <c r="BB162" i="1"/>
  <c r="G162" i="1" l="1"/>
  <c r="E162" i="1" s="1"/>
  <c r="O162" i="1"/>
  <c r="I162" i="1" l="1"/>
  <c r="H162" i="1"/>
  <c r="T161" i="1" s="1"/>
  <c r="AZ162" i="1" l="1"/>
  <c r="BA162" i="1" s="1"/>
  <c r="M162" i="1"/>
  <c r="P162" i="1" s="1"/>
  <c r="J162" i="1"/>
  <c r="D163" i="1" s="1"/>
  <c r="K163" i="1"/>
  <c r="L163" i="1" l="1"/>
  <c r="N163" i="1" s="1"/>
  <c r="D312" i="1"/>
  <c r="Q162" i="1"/>
  <c r="D311" i="1"/>
  <c r="U162" i="1" l="1"/>
  <c r="W162" i="1"/>
  <c r="X162" i="1"/>
  <c r="V162" i="1"/>
  <c r="B163" i="1"/>
  <c r="R163" i="1"/>
  <c r="S163" i="1" s="1"/>
  <c r="BB163" i="1"/>
  <c r="G163" i="1" l="1"/>
  <c r="E163" i="1" s="1"/>
  <c r="O163" i="1"/>
  <c r="H163" i="1" l="1"/>
  <c r="T162" i="1" s="1"/>
  <c r="I163" i="1"/>
  <c r="AZ163" i="1" l="1"/>
  <c r="BA163" i="1" s="1"/>
  <c r="M163" i="1"/>
  <c r="P163" i="1" s="1"/>
  <c r="J163" i="1"/>
  <c r="D164" i="1" s="1"/>
  <c r="K164" i="1"/>
  <c r="D313" i="1" l="1"/>
  <c r="Q163" i="1"/>
  <c r="D314" i="1"/>
  <c r="L164" i="1"/>
  <c r="N164" i="1" s="1"/>
  <c r="X163" i="1" l="1"/>
  <c r="W163" i="1"/>
  <c r="V163" i="1"/>
  <c r="U163" i="1"/>
  <c r="B164" i="1"/>
  <c r="R164" i="1"/>
  <c r="S164" i="1" s="1"/>
  <c r="BB164" i="1"/>
  <c r="G164" i="1" l="1"/>
  <c r="E164" i="1" s="1"/>
  <c r="O164" i="1"/>
  <c r="I164" i="1" l="1"/>
  <c r="H164" i="1"/>
  <c r="T163" i="1" s="1"/>
  <c r="AZ164" i="1" l="1"/>
  <c r="BA164" i="1" s="1"/>
  <c r="M164" i="1"/>
  <c r="P164" i="1" s="1"/>
  <c r="J164" i="1"/>
  <c r="D165" i="1" s="1"/>
  <c r="K165" i="1"/>
  <c r="D315" i="1" l="1"/>
  <c r="D316" i="1"/>
  <c r="Q164" i="1"/>
  <c r="L165" i="1"/>
  <c r="N165" i="1" s="1"/>
  <c r="W164" i="1" l="1"/>
  <c r="U164" i="1"/>
  <c r="V164" i="1"/>
  <c r="X164" i="1"/>
  <c r="B165" i="1"/>
  <c r="BB165" i="1"/>
  <c r="R165" i="1"/>
  <c r="S165" i="1" s="1"/>
  <c r="G165" i="1" l="1"/>
  <c r="E165" i="1" s="1"/>
  <c r="O165" i="1"/>
  <c r="H165" i="1" l="1"/>
  <c r="T164" i="1" s="1"/>
  <c r="I165" i="1"/>
  <c r="AZ165" i="1" l="1"/>
  <c r="BA165" i="1" s="1"/>
  <c r="M165" i="1"/>
  <c r="P165" i="1" s="1"/>
  <c r="J165" i="1"/>
  <c r="D166" i="1" s="1"/>
  <c r="K166" i="1"/>
  <c r="Q165" i="1" l="1"/>
  <c r="D318" i="1"/>
  <c r="D317" i="1"/>
  <c r="L166" i="1"/>
  <c r="N166" i="1" s="1"/>
  <c r="V165" i="1" l="1"/>
  <c r="X165" i="1"/>
  <c r="U165" i="1"/>
  <c r="W165" i="1"/>
  <c r="B166" i="1"/>
  <c r="R166" i="1"/>
  <c r="S166" i="1" s="1"/>
  <c r="BB166" i="1"/>
  <c r="G166" i="1" l="1"/>
  <c r="E166" i="1" s="1"/>
  <c r="O166" i="1"/>
  <c r="I166" i="1" l="1"/>
  <c r="H166" i="1"/>
  <c r="T165" i="1" s="1"/>
  <c r="AZ166" i="1" l="1"/>
  <c r="BA166" i="1" s="1"/>
  <c r="M166" i="1"/>
  <c r="P166" i="1" s="1"/>
  <c r="J166" i="1"/>
  <c r="D167" i="1" s="1"/>
  <c r="K167" i="1"/>
  <c r="L167" i="1" l="1"/>
  <c r="N167" i="1" s="1"/>
  <c r="D319" i="1"/>
  <c r="Q166" i="1"/>
  <c r="X166" i="1" l="1"/>
  <c r="U166" i="1"/>
  <c r="W166" i="1"/>
  <c r="V166" i="1"/>
  <c r="B167" i="1"/>
  <c r="BB167" i="1"/>
  <c r="R167" i="1"/>
  <c r="S167" i="1" s="1"/>
  <c r="G167" i="1" l="1"/>
  <c r="E167" i="1" s="1"/>
  <c r="O167" i="1"/>
  <c r="I167" i="1" l="1"/>
  <c r="H167" i="1"/>
  <c r="T166" i="1" s="1"/>
  <c r="AZ167" i="1" l="1"/>
  <c r="BA167" i="1" s="1"/>
  <c r="M167" i="1"/>
  <c r="P167" i="1" s="1"/>
  <c r="J167" i="1"/>
  <c r="D168" i="1" s="1"/>
  <c r="K168" i="1"/>
  <c r="L168" i="1" l="1"/>
  <c r="N168" i="1" s="1"/>
  <c r="D321" i="1"/>
  <c r="D320" i="1"/>
  <c r="Q167" i="1"/>
  <c r="V167" i="1" l="1"/>
  <c r="X167" i="1"/>
  <c r="U167" i="1"/>
  <c r="W167" i="1"/>
  <c r="B168" i="1"/>
  <c r="BB168" i="1"/>
  <c r="R168" i="1"/>
  <c r="S168" i="1" s="1"/>
  <c r="G168" i="1" l="1"/>
  <c r="E168" i="1" s="1"/>
  <c r="O168" i="1"/>
  <c r="I168" i="1" l="1"/>
  <c r="H168" i="1"/>
  <c r="T167" i="1" s="1"/>
  <c r="AZ168" i="1" l="1"/>
  <c r="BA168" i="1" s="1"/>
  <c r="M168" i="1"/>
  <c r="P168" i="1" s="1"/>
  <c r="J168" i="1"/>
  <c r="D169" i="1" s="1"/>
  <c r="K169" i="1"/>
  <c r="L169" i="1" l="1"/>
  <c r="N169" i="1" s="1"/>
  <c r="Q168" i="1"/>
  <c r="D323" i="1"/>
  <c r="D322" i="1"/>
  <c r="V168" i="1" l="1"/>
  <c r="W168" i="1"/>
  <c r="U168" i="1"/>
  <c r="X168" i="1"/>
  <c r="B169" i="1"/>
  <c r="BB169" i="1"/>
  <c r="R169" i="1"/>
  <c r="S169" i="1" s="1"/>
  <c r="G169" i="1" l="1"/>
  <c r="E169" i="1" s="1"/>
  <c r="O169" i="1"/>
  <c r="I169" i="1" l="1"/>
  <c r="H169" i="1"/>
  <c r="T168" i="1" s="1"/>
  <c r="AZ169" i="1" l="1"/>
  <c r="BA169" i="1" s="1"/>
  <c r="M169" i="1"/>
  <c r="P169" i="1" s="1"/>
  <c r="J169" i="1"/>
  <c r="D170" i="1" s="1"/>
  <c r="K170" i="1"/>
  <c r="L170" i="1" l="1"/>
  <c r="N170" i="1" s="1"/>
  <c r="D325" i="1"/>
  <c r="Q169" i="1"/>
  <c r="D324" i="1"/>
  <c r="V169" i="1" l="1"/>
  <c r="X169" i="1"/>
  <c r="U169" i="1"/>
  <c r="W169" i="1"/>
  <c r="B170" i="1"/>
  <c r="R170" i="1"/>
  <c r="S170" i="1" s="1"/>
  <c r="BB170" i="1"/>
  <c r="G170" i="1" l="1"/>
  <c r="E170" i="1" s="1"/>
  <c r="O170" i="1"/>
  <c r="H170" i="1" l="1"/>
  <c r="T169" i="1" s="1"/>
  <c r="I170" i="1"/>
  <c r="AZ170" i="1" l="1"/>
  <c r="BA170" i="1" s="1"/>
  <c r="M170" i="1"/>
  <c r="P170" i="1" s="1"/>
  <c r="J170" i="1"/>
  <c r="D171" i="1" s="1"/>
  <c r="K171" i="1"/>
  <c r="D326" i="1" l="1"/>
  <c r="Q170" i="1"/>
  <c r="D327" i="1"/>
  <c r="L171" i="1"/>
  <c r="N171" i="1" s="1"/>
  <c r="X170" i="1" l="1"/>
  <c r="U170" i="1"/>
  <c r="W170" i="1"/>
  <c r="V170" i="1"/>
  <c r="B171" i="1"/>
  <c r="BB171" i="1"/>
  <c r="R171" i="1"/>
  <c r="S171" i="1" s="1"/>
  <c r="G171" i="1" l="1"/>
  <c r="E171" i="1" s="1"/>
  <c r="O171" i="1"/>
  <c r="I171" i="1" l="1"/>
  <c r="H171" i="1"/>
  <c r="T170" i="1" s="1"/>
  <c r="AZ171" i="1" l="1"/>
  <c r="BA171" i="1" s="1"/>
  <c r="M171" i="1"/>
  <c r="P171" i="1" s="1"/>
  <c r="J171" i="1"/>
  <c r="D172" i="1" s="1"/>
  <c r="K172" i="1"/>
  <c r="D328" i="1" l="1"/>
  <c r="D329" i="1"/>
  <c r="Q171" i="1"/>
  <c r="L172" i="1"/>
  <c r="N172" i="1" s="1"/>
  <c r="W171" i="1" l="1"/>
  <c r="U171" i="1"/>
  <c r="V171" i="1"/>
  <c r="X171" i="1"/>
  <c r="B172" i="1"/>
  <c r="BB172" i="1"/>
  <c r="R172" i="1"/>
  <c r="S172" i="1" s="1"/>
  <c r="G172" i="1" l="1"/>
  <c r="E172" i="1" s="1"/>
  <c r="O172" i="1"/>
  <c r="H172" i="1" l="1"/>
  <c r="T171" i="1" s="1"/>
  <c r="I172" i="1"/>
  <c r="AZ172" i="1" l="1"/>
  <c r="BA172" i="1" s="1"/>
  <c r="M172" i="1"/>
  <c r="P172" i="1" s="1"/>
  <c r="J172" i="1"/>
  <c r="D173" i="1" s="1"/>
  <c r="K173" i="1"/>
  <c r="D331" i="1" l="1"/>
  <c r="Q172" i="1"/>
  <c r="D330" i="1"/>
  <c r="L173" i="1"/>
  <c r="N173" i="1" s="1"/>
  <c r="V172" i="1" l="1"/>
  <c r="U172" i="1"/>
  <c r="X172" i="1"/>
  <c r="W172" i="1"/>
  <c r="B173" i="1"/>
  <c r="BB173" i="1"/>
  <c r="R173" i="1"/>
  <c r="S173" i="1" s="1"/>
  <c r="G173" i="1" l="1"/>
  <c r="E173" i="1" s="1"/>
  <c r="O173" i="1"/>
  <c r="I173" i="1" l="1"/>
  <c r="H173" i="1"/>
  <c r="T172" i="1" s="1"/>
  <c r="AZ173" i="1" l="1"/>
  <c r="BA173" i="1" s="1"/>
  <c r="M173" i="1"/>
  <c r="P173" i="1" s="1"/>
  <c r="J173" i="1"/>
  <c r="D174" i="1" s="1"/>
  <c r="K174" i="1"/>
  <c r="L174" i="1" l="1"/>
  <c r="N174" i="1" s="1"/>
  <c r="Q173" i="1"/>
  <c r="D333" i="1"/>
  <c r="D332" i="1"/>
  <c r="U173" i="1" l="1"/>
  <c r="W173" i="1"/>
  <c r="X173" i="1"/>
  <c r="V173" i="1"/>
  <c r="B174" i="1"/>
  <c r="R174" i="1"/>
  <c r="S174" i="1" s="1"/>
  <c r="BB174" i="1"/>
  <c r="G174" i="1" l="1"/>
  <c r="E174" i="1" s="1"/>
  <c r="O174" i="1"/>
  <c r="I174" i="1" l="1"/>
  <c r="H174" i="1"/>
  <c r="T173" i="1" s="1"/>
  <c r="AZ174" i="1" l="1"/>
  <c r="BA174" i="1" s="1"/>
  <c r="M174" i="1"/>
  <c r="P174" i="1" s="1"/>
  <c r="J174" i="1"/>
  <c r="D175" i="1" s="1"/>
  <c r="K175" i="1"/>
  <c r="L175" i="1" l="1"/>
  <c r="N175" i="1" s="1"/>
  <c r="Q174" i="1"/>
  <c r="D334" i="1"/>
  <c r="D335" i="1"/>
  <c r="U174" i="1" l="1"/>
  <c r="W174" i="1"/>
  <c r="V174" i="1"/>
  <c r="X174" i="1"/>
  <c r="B175" i="1"/>
  <c r="BB175" i="1"/>
  <c r="R175" i="1"/>
  <c r="S175" i="1" s="1"/>
  <c r="G175" i="1" l="1"/>
  <c r="E175" i="1" s="1"/>
  <c r="O175" i="1"/>
  <c r="I175" i="1" l="1"/>
  <c r="H175" i="1"/>
  <c r="T174" i="1" s="1"/>
  <c r="AZ175" i="1" l="1"/>
  <c r="BA175" i="1" s="1"/>
  <c r="M175" i="1"/>
  <c r="P175" i="1" s="1"/>
  <c r="J175" i="1"/>
  <c r="D176" i="1" s="1"/>
  <c r="K176" i="1"/>
  <c r="L176" i="1" l="1"/>
  <c r="N176" i="1" s="1"/>
  <c r="Q175" i="1"/>
  <c r="D336" i="1"/>
  <c r="D337" i="1"/>
  <c r="W175" i="1" l="1"/>
  <c r="U175" i="1"/>
  <c r="V175" i="1"/>
  <c r="X175" i="1"/>
  <c r="B176" i="1"/>
  <c r="BB176" i="1"/>
  <c r="R176" i="1"/>
  <c r="S176" i="1" s="1"/>
  <c r="G176" i="1" l="1"/>
  <c r="E176" i="1" s="1"/>
  <c r="O176" i="1"/>
  <c r="I176" i="1" l="1"/>
  <c r="H176" i="1"/>
  <c r="T175" i="1" s="1"/>
  <c r="AZ176" i="1" l="1"/>
  <c r="BA176" i="1" s="1"/>
  <c r="M176" i="1"/>
  <c r="P176" i="1" s="1"/>
  <c r="J176" i="1"/>
  <c r="D177" i="1" s="1"/>
  <c r="K177" i="1"/>
  <c r="L177" i="1" l="1"/>
  <c r="N177" i="1" s="1"/>
  <c r="D338" i="1"/>
  <c r="D339" i="1"/>
  <c r="Q176" i="1"/>
  <c r="V176" i="1" l="1"/>
  <c r="X176" i="1"/>
  <c r="U176" i="1"/>
  <c r="W176" i="1"/>
  <c r="B177" i="1"/>
  <c r="R177" i="1"/>
  <c r="S177" i="1" s="1"/>
  <c r="BB177" i="1"/>
  <c r="G177" i="1" l="1"/>
  <c r="E177" i="1" s="1"/>
  <c r="O177" i="1"/>
  <c r="H177" i="1" l="1"/>
  <c r="T176" i="1" s="1"/>
  <c r="I177" i="1"/>
  <c r="AZ177" i="1" l="1"/>
  <c r="BA177" i="1" s="1"/>
  <c r="M177" i="1"/>
  <c r="P177" i="1" s="1"/>
  <c r="J177" i="1"/>
  <c r="D178" i="1" s="1"/>
  <c r="K178" i="1"/>
  <c r="Q177" i="1" l="1"/>
  <c r="D341" i="1"/>
  <c r="D340" i="1"/>
  <c r="L178" i="1"/>
  <c r="N178" i="1" s="1"/>
  <c r="V177" i="1" l="1"/>
  <c r="W177" i="1"/>
  <c r="X177" i="1"/>
  <c r="U177" i="1"/>
  <c r="B178" i="1"/>
  <c r="R178" i="1"/>
  <c r="S178" i="1" s="1"/>
  <c r="BB178" i="1"/>
  <c r="G178" i="1" l="1"/>
  <c r="E178" i="1" s="1"/>
  <c r="O178" i="1"/>
  <c r="H178" i="1" l="1"/>
  <c r="T177" i="1" s="1"/>
  <c r="I178" i="1"/>
  <c r="AZ178" i="1" l="1"/>
  <c r="BA178" i="1" s="1"/>
  <c r="M178" i="1"/>
  <c r="P178" i="1" s="1"/>
  <c r="J178" i="1"/>
  <c r="D179" i="1" s="1"/>
  <c r="K179" i="1"/>
  <c r="D343" i="1" l="1"/>
  <c r="D342" i="1"/>
  <c r="Q178" i="1"/>
  <c r="L179" i="1"/>
  <c r="N179" i="1" s="1"/>
  <c r="U178" i="1" l="1"/>
  <c r="W178" i="1"/>
  <c r="X178" i="1"/>
  <c r="V178" i="1"/>
  <c r="B179" i="1"/>
  <c r="BB179" i="1"/>
  <c r="R179" i="1"/>
  <c r="S179" i="1" s="1"/>
  <c r="G179" i="1" l="1"/>
  <c r="E179" i="1" s="1"/>
  <c r="O179" i="1"/>
  <c r="I179" i="1" l="1"/>
  <c r="H179" i="1"/>
  <c r="T178" i="1" s="1"/>
  <c r="AZ179" i="1" l="1"/>
  <c r="BA179" i="1" s="1"/>
  <c r="M179" i="1"/>
  <c r="P179" i="1" s="1"/>
  <c r="J179" i="1"/>
  <c r="D180" i="1" s="1"/>
  <c r="K180" i="1"/>
  <c r="L180" i="1" l="1"/>
  <c r="N180" i="1" s="1"/>
  <c r="D344" i="1"/>
  <c r="D345" i="1"/>
  <c r="Q179" i="1"/>
  <c r="V179" i="1" l="1"/>
  <c r="W179" i="1"/>
  <c r="X179" i="1"/>
  <c r="U179" i="1"/>
  <c r="B180" i="1"/>
  <c r="R180" i="1"/>
  <c r="S180" i="1" s="1"/>
  <c r="BB180" i="1"/>
  <c r="G180" i="1" l="1"/>
  <c r="E180" i="1" s="1"/>
  <c r="O180" i="1"/>
  <c r="H180" i="1" l="1"/>
  <c r="T179" i="1" s="1"/>
  <c r="I180" i="1"/>
  <c r="AZ180" i="1" l="1"/>
  <c r="BA180" i="1" s="1"/>
  <c r="M180" i="1"/>
  <c r="P180" i="1" s="1"/>
  <c r="J180" i="1"/>
  <c r="D181" i="1" s="1"/>
  <c r="K181" i="1"/>
  <c r="D347" i="1" l="1"/>
  <c r="D346" i="1"/>
  <c r="Q180" i="1"/>
  <c r="L181" i="1"/>
  <c r="N181" i="1" s="1"/>
  <c r="X180" i="1" l="1"/>
  <c r="U180" i="1"/>
  <c r="V180" i="1"/>
  <c r="W180" i="1"/>
  <c r="B181" i="1"/>
  <c r="BB181" i="1"/>
  <c r="R181" i="1"/>
  <c r="S181" i="1" s="1"/>
  <c r="G181" i="1" l="1"/>
  <c r="E181" i="1" s="1"/>
  <c r="O181" i="1"/>
  <c r="I181" i="1" l="1"/>
  <c r="H181" i="1"/>
  <c r="T180" i="1" s="1"/>
  <c r="AZ181" i="1" l="1"/>
  <c r="BA181" i="1" s="1"/>
  <c r="M181" i="1"/>
  <c r="P181" i="1" s="1"/>
  <c r="J181" i="1"/>
  <c r="D182" i="1" s="1"/>
  <c r="K182" i="1"/>
  <c r="D349" i="1" l="1"/>
  <c r="D348" i="1"/>
  <c r="Q181" i="1"/>
  <c r="L182" i="1"/>
  <c r="N182" i="1" s="1"/>
  <c r="U181" i="1" l="1"/>
  <c r="X181" i="1"/>
  <c r="V181" i="1"/>
  <c r="W181" i="1"/>
  <c r="B182" i="1"/>
  <c r="BB182" i="1"/>
  <c r="R182" i="1"/>
  <c r="S182" i="1" s="1"/>
  <c r="G182" i="1" l="1"/>
  <c r="E182" i="1" s="1"/>
  <c r="O182" i="1"/>
  <c r="I182" i="1" l="1"/>
  <c r="H182" i="1"/>
  <c r="T181" i="1" s="1"/>
  <c r="AZ182" i="1" l="1"/>
  <c r="BA182" i="1" s="1"/>
  <c r="M182" i="1"/>
  <c r="P182" i="1" s="1"/>
  <c r="J182" i="1"/>
  <c r="D183" i="1" s="1"/>
  <c r="K183" i="1"/>
  <c r="L183" i="1" l="1"/>
  <c r="N183" i="1" s="1"/>
  <c r="D350" i="1"/>
  <c r="D351" i="1"/>
  <c r="Q182" i="1"/>
  <c r="V182" i="1" l="1"/>
  <c r="W182" i="1"/>
  <c r="U182" i="1"/>
  <c r="X182" i="1"/>
  <c r="B183" i="1"/>
  <c r="R183" i="1"/>
  <c r="S183" i="1" s="1"/>
  <c r="BB183" i="1"/>
  <c r="G183" i="1" l="1"/>
  <c r="E183" i="1" s="1"/>
  <c r="O183" i="1"/>
  <c r="I183" i="1" l="1"/>
  <c r="H183" i="1"/>
  <c r="T182" i="1" s="1"/>
  <c r="AZ183" i="1" l="1"/>
  <c r="BA183" i="1" s="1"/>
  <c r="M183" i="1"/>
  <c r="P183" i="1" s="1"/>
  <c r="J183" i="1"/>
  <c r="D184" i="1" s="1"/>
  <c r="K184" i="1"/>
  <c r="L184" i="1" l="1"/>
  <c r="N184" i="1" s="1"/>
  <c r="Q183" i="1"/>
  <c r="D352" i="1"/>
  <c r="D353" i="1"/>
  <c r="X183" i="1" l="1"/>
  <c r="W183" i="1"/>
  <c r="U183" i="1"/>
  <c r="V183" i="1"/>
  <c r="B184" i="1"/>
  <c r="R184" i="1"/>
  <c r="S184" i="1" s="1"/>
  <c r="BB184" i="1"/>
  <c r="G184" i="1" l="1"/>
  <c r="E184" i="1" s="1"/>
  <c r="O184" i="1"/>
  <c r="H184" i="1" l="1"/>
  <c r="T183" i="1" s="1"/>
  <c r="I184" i="1"/>
  <c r="AZ184" i="1" l="1"/>
  <c r="BA184" i="1" s="1"/>
  <c r="M184" i="1"/>
  <c r="P184" i="1" s="1"/>
  <c r="J184" i="1"/>
  <c r="D185" i="1" s="1"/>
  <c r="K185" i="1"/>
  <c r="L185" i="1" l="1"/>
  <c r="N185" i="1" s="1"/>
  <c r="D355" i="1"/>
  <c r="Q184" i="1"/>
  <c r="D354" i="1"/>
  <c r="V184" i="1" l="1"/>
  <c r="X184" i="1"/>
  <c r="U184" i="1"/>
  <c r="W184" i="1"/>
  <c r="B185" i="1"/>
  <c r="R185" i="1"/>
  <c r="S185" i="1" s="1"/>
  <c r="BB185" i="1"/>
  <c r="G185" i="1" l="1"/>
  <c r="E185" i="1" s="1"/>
  <c r="O185" i="1"/>
  <c r="I185" i="1" l="1"/>
  <c r="H185" i="1"/>
  <c r="T184" i="1" s="1"/>
  <c r="AZ185" i="1" l="1"/>
  <c r="BA185" i="1" s="1"/>
  <c r="M185" i="1"/>
  <c r="P185" i="1" s="1"/>
  <c r="J185" i="1"/>
  <c r="D186" i="1" s="1"/>
  <c r="K186" i="1"/>
  <c r="L186" i="1" l="1"/>
  <c r="N186" i="1" s="1"/>
  <c r="D356" i="1"/>
  <c r="Q185" i="1"/>
  <c r="D357" i="1"/>
  <c r="U185" i="1" l="1"/>
  <c r="V185" i="1"/>
  <c r="W185" i="1"/>
  <c r="X185" i="1"/>
  <c r="B186" i="1"/>
  <c r="BB186" i="1"/>
  <c r="R186" i="1"/>
  <c r="S186" i="1" s="1"/>
  <c r="G186" i="1" l="1"/>
  <c r="E186" i="1" s="1"/>
  <c r="O186" i="1"/>
  <c r="I186" i="1" l="1"/>
  <c r="H186" i="1"/>
  <c r="T185" i="1" s="1"/>
  <c r="AZ186" i="1" l="1"/>
  <c r="BA186" i="1" s="1"/>
  <c r="M186" i="1"/>
  <c r="P186" i="1" s="1"/>
  <c r="J186" i="1"/>
  <c r="D187" i="1" s="1"/>
  <c r="K187" i="1"/>
  <c r="L187" i="1" l="1"/>
  <c r="N187" i="1" s="1"/>
  <c r="D358" i="1"/>
  <c r="D359" i="1"/>
  <c r="Q186" i="1"/>
  <c r="U186" i="1" l="1"/>
  <c r="W186" i="1"/>
  <c r="X186" i="1"/>
  <c r="V186" i="1"/>
  <c r="B187" i="1"/>
  <c r="BB187" i="1"/>
  <c r="R187" i="1"/>
  <c r="S187" i="1" s="1"/>
  <c r="G187" i="1" l="1"/>
  <c r="E187" i="1" s="1"/>
  <c r="O187" i="1"/>
  <c r="I187" i="1" l="1"/>
  <c r="H187" i="1"/>
  <c r="T186" i="1" s="1"/>
  <c r="AZ187" i="1" l="1"/>
  <c r="BA187" i="1" s="1"/>
  <c r="M187" i="1"/>
  <c r="P187" i="1" s="1"/>
  <c r="J187" i="1"/>
  <c r="D188" i="1" s="1"/>
  <c r="K188" i="1"/>
  <c r="L188" i="1" l="1"/>
  <c r="N188" i="1" s="1"/>
  <c r="D360" i="1"/>
  <c r="D361" i="1"/>
  <c r="Q187" i="1"/>
  <c r="W187" i="1" l="1"/>
  <c r="U187" i="1"/>
  <c r="X187" i="1"/>
  <c r="V187" i="1"/>
  <c r="B188" i="1"/>
  <c r="R188" i="1"/>
  <c r="S188" i="1" s="1"/>
  <c r="BB188" i="1"/>
  <c r="G188" i="1" l="1"/>
  <c r="E188" i="1" s="1"/>
  <c r="O188" i="1"/>
  <c r="I188" i="1" l="1"/>
  <c r="H188" i="1"/>
  <c r="T187" i="1" s="1"/>
  <c r="AZ188" i="1" l="1"/>
  <c r="BA188" i="1" s="1"/>
  <c r="M188" i="1"/>
  <c r="P188" i="1" s="1"/>
  <c r="J188" i="1"/>
  <c r="D189" i="1" s="1"/>
  <c r="K189" i="1"/>
  <c r="L189" i="1" l="1"/>
  <c r="N189" i="1" s="1"/>
  <c r="D362" i="1"/>
  <c r="Q188" i="1"/>
  <c r="D363" i="1"/>
  <c r="V188" i="1" l="1"/>
  <c r="U188" i="1"/>
  <c r="W188" i="1"/>
  <c r="X188" i="1"/>
  <c r="B189" i="1"/>
  <c r="R189" i="1"/>
  <c r="S189" i="1" s="1"/>
  <c r="BB189" i="1"/>
  <c r="G189" i="1" l="1"/>
  <c r="E189" i="1" s="1"/>
  <c r="O189" i="1"/>
  <c r="H189" i="1" l="1"/>
  <c r="T188" i="1" s="1"/>
  <c r="I189" i="1"/>
  <c r="AZ189" i="1" l="1"/>
  <c r="BA189" i="1" s="1"/>
  <c r="M189" i="1"/>
  <c r="P189" i="1" s="1"/>
  <c r="J189" i="1"/>
  <c r="D190" i="1" s="1"/>
  <c r="K190" i="1"/>
  <c r="L190" i="1" l="1"/>
  <c r="N190" i="1" s="1"/>
  <c r="Q189" i="1"/>
  <c r="D364" i="1"/>
  <c r="D365" i="1"/>
  <c r="V189" i="1" l="1"/>
  <c r="W189" i="1"/>
  <c r="U189" i="1"/>
  <c r="X189" i="1"/>
  <c r="B190" i="1"/>
  <c r="BB190" i="1"/>
  <c r="R190" i="1"/>
  <c r="S190" i="1" s="1"/>
  <c r="G190" i="1" l="1"/>
  <c r="E190" i="1" s="1"/>
  <c r="O190" i="1"/>
  <c r="I190" i="1" l="1"/>
  <c r="H190" i="1"/>
  <c r="T189" i="1" s="1"/>
  <c r="AZ190" i="1" l="1"/>
  <c r="BA190" i="1" s="1"/>
  <c r="M190" i="1"/>
  <c r="P190" i="1" s="1"/>
  <c r="J190" i="1"/>
  <c r="D191" i="1" s="1"/>
  <c r="K191" i="1"/>
  <c r="L191" i="1" l="1"/>
  <c r="N191" i="1" s="1"/>
  <c r="D367" i="1"/>
  <c r="Q190" i="1"/>
  <c r="D366" i="1"/>
  <c r="V190" i="1" l="1"/>
  <c r="W190" i="1"/>
  <c r="X190" i="1"/>
  <c r="U190" i="1"/>
  <c r="B191" i="1"/>
  <c r="R191" i="1"/>
  <c r="S191" i="1" s="1"/>
  <c r="BB191" i="1"/>
  <c r="G191" i="1" l="1"/>
  <c r="E191" i="1" s="1"/>
  <c r="O191" i="1"/>
  <c r="I191" i="1" l="1"/>
  <c r="H191" i="1"/>
  <c r="T190" i="1" s="1"/>
  <c r="AZ191" i="1" l="1"/>
  <c r="BA191" i="1" s="1"/>
  <c r="M191" i="1"/>
  <c r="P191" i="1" s="1"/>
  <c r="J191" i="1"/>
  <c r="D192" i="1" s="1"/>
  <c r="K192" i="1"/>
  <c r="L192" i="1" l="1"/>
  <c r="N192" i="1" s="1"/>
  <c r="D369" i="1"/>
  <c r="Q191" i="1"/>
  <c r="D368" i="1"/>
  <c r="V191" i="1" l="1"/>
  <c r="W191" i="1"/>
  <c r="U191" i="1"/>
  <c r="X191" i="1"/>
  <c r="B192" i="1"/>
  <c r="BB192" i="1"/>
  <c r="R192" i="1"/>
  <c r="S192" i="1" s="1"/>
  <c r="G192" i="1" l="1"/>
  <c r="E192" i="1" s="1"/>
  <c r="O192" i="1"/>
  <c r="I192" i="1" l="1"/>
  <c r="H192" i="1"/>
  <c r="T191" i="1" s="1"/>
  <c r="AZ192" i="1" l="1"/>
  <c r="BA192" i="1" s="1"/>
  <c r="M192" i="1"/>
  <c r="P192" i="1" s="1"/>
  <c r="J192" i="1"/>
  <c r="D193" i="1" s="1"/>
  <c r="K193" i="1"/>
  <c r="D370" i="1" l="1"/>
  <c r="Q192" i="1"/>
  <c r="D371" i="1"/>
  <c r="L193" i="1"/>
  <c r="N193" i="1" s="1"/>
  <c r="X192" i="1" l="1"/>
  <c r="V192" i="1"/>
  <c r="W192" i="1"/>
  <c r="U192" i="1"/>
  <c r="B193" i="1"/>
  <c r="R193" i="1"/>
  <c r="S193" i="1" s="1"/>
  <c r="BB193" i="1"/>
  <c r="G193" i="1" l="1"/>
  <c r="E193" i="1" s="1"/>
  <c r="O193" i="1"/>
  <c r="I193" i="1" l="1"/>
  <c r="H193" i="1"/>
  <c r="T192" i="1" s="1"/>
  <c r="AZ193" i="1" l="1"/>
  <c r="BA193" i="1" s="1"/>
  <c r="M193" i="1"/>
  <c r="P193" i="1" s="1"/>
  <c r="J193" i="1"/>
  <c r="D194" i="1" s="1"/>
  <c r="K194" i="1"/>
  <c r="L194" i="1" l="1"/>
  <c r="N194" i="1" s="1"/>
  <c r="D372" i="1"/>
  <c r="Q193" i="1"/>
  <c r="D373" i="1"/>
  <c r="U193" i="1" l="1"/>
  <c r="X193" i="1"/>
  <c r="V193" i="1"/>
  <c r="W193" i="1"/>
  <c r="B194" i="1"/>
  <c r="BB194" i="1"/>
  <c r="R194" i="1"/>
  <c r="S194" i="1" s="1"/>
  <c r="G194" i="1" l="1"/>
  <c r="E194" i="1" s="1"/>
  <c r="O194" i="1"/>
  <c r="H194" i="1" l="1"/>
  <c r="T193" i="1" s="1"/>
  <c r="I194" i="1"/>
  <c r="AZ194" i="1" l="1"/>
  <c r="BA194" i="1" s="1"/>
  <c r="M194" i="1"/>
  <c r="P194" i="1" s="1"/>
  <c r="J194" i="1"/>
  <c r="D195" i="1" s="1"/>
  <c r="K195" i="1"/>
  <c r="L195" i="1" l="1"/>
  <c r="N195" i="1" s="1"/>
  <c r="D374" i="1"/>
  <c r="Q194" i="1"/>
  <c r="D375" i="1"/>
  <c r="V194" i="1" l="1"/>
  <c r="U194" i="1"/>
  <c r="W194" i="1"/>
  <c r="X194" i="1"/>
  <c r="B195" i="1"/>
  <c r="BB195" i="1"/>
  <c r="R195" i="1"/>
  <c r="S195" i="1" s="1"/>
  <c r="G195" i="1" l="1"/>
  <c r="E195" i="1" s="1"/>
  <c r="O195" i="1"/>
  <c r="I195" i="1" l="1"/>
  <c r="H195" i="1"/>
  <c r="T194" i="1" s="1"/>
  <c r="AZ195" i="1" l="1"/>
  <c r="BA195" i="1" s="1"/>
  <c r="M195" i="1"/>
  <c r="P195" i="1" s="1"/>
  <c r="J195" i="1"/>
  <c r="D196" i="1" s="1"/>
  <c r="K196" i="1"/>
  <c r="L196" i="1" s="1"/>
  <c r="N196" i="1" l="1"/>
  <c r="AC99" i="1"/>
  <c r="X195" i="1"/>
  <c r="X197" i="1" s="1"/>
  <c r="V195" i="1"/>
  <c r="V197" i="1" s="1"/>
  <c r="W195" i="1"/>
  <c r="W197" i="1" s="1"/>
  <c r="U195" i="1"/>
  <c r="U197" i="1" s="1"/>
  <c r="B196" i="1"/>
  <c r="L102" i="1"/>
  <c r="L101" i="1"/>
  <c r="BB196" i="1"/>
  <c r="R196" i="1"/>
  <c r="D377" i="1"/>
  <c r="Q195" i="1"/>
  <c r="D376" i="1"/>
  <c r="AA99" i="1" a="1"/>
  <c r="AA99" i="1" l="1"/>
  <c r="L99" i="1"/>
  <c r="S196" i="1"/>
  <c r="O196" i="1"/>
  <c r="G196" i="1"/>
  <c r="E196" i="1" s="1"/>
  <c r="Z113" i="1" a="1"/>
  <c r="Z113" i="1" s="1"/>
  <c r="AG113" i="1" a="1"/>
  <c r="AG113" i="1" s="1"/>
  <c r="AE113" i="1" a="1"/>
  <c r="AE113" i="1" s="1"/>
  <c r="AI113" i="1" a="1"/>
  <c r="AI113" i="1" s="1"/>
  <c r="AD113" i="1" a="1"/>
  <c r="AD113" i="1" s="1"/>
  <c r="AH113" i="1" a="1"/>
  <c r="AH113" i="1" s="1"/>
  <c r="AC113" i="1" a="1"/>
  <c r="AC113" i="1" s="1"/>
  <c r="AB113" i="1" a="1"/>
  <c r="AB113" i="1" s="1"/>
  <c r="AB114" i="1" s="1"/>
  <c r="AA113" i="1" a="1"/>
  <c r="AA113" i="1" s="1"/>
  <c r="AF113" i="1" a="1"/>
  <c r="AF113" i="1" s="1"/>
  <c r="H99" i="1"/>
  <c r="E104" i="1" l="1"/>
  <c r="AF117" i="1"/>
  <c r="AF116" i="1"/>
  <c r="AF115" i="1"/>
  <c r="AF114" i="1"/>
  <c r="AA117" i="1"/>
  <c r="AA115" i="1"/>
  <c r="AA114" i="1"/>
  <c r="AA116" i="1"/>
  <c r="AB117" i="1"/>
  <c r="AB116" i="1"/>
  <c r="AB115" i="1"/>
  <c r="AC116" i="1"/>
  <c r="AC115" i="1"/>
  <c r="AC114" i="1"/>
  <c r="AC117" i="1"/>
  <c r="AH114" i="1"/>
  <c r="AH115" i="1"/>
  <c r="AH117" i="1"/>
  <c r="AH116" i="1"/>
  <c r="AD117" i="1"/>
  <c r="AD114" i="1"/>
  <c r="AD115" i="1"/>
  <c r="AD116" i="1"/>
  <c r="AE114" i="1"/>
  <c r="AE116" i="1"/>
  <c r="AE115" i="1"/>
  <c r="AE117" i="1"/>
  <c r="Z117" i="1"/>
  <c r="Z115" i="1"/>
  <c r="Z114" i="1"/>
  <c r="Z116" i="1"/>
  <c r="AI117" i="1"/>
  <c r="AI115" i="1"/>
  <c r="AI116" i="1"/>
  <c r="AI114" i="1"/>
  <c r="AG116" i="1"/>
  <c r="AG117" i="1"/>
  <c r="AG114" i="1"/>
  <c r="AG115" i="1"/>
  <c r="I196" i="1" l="1"/>
  <c r="J196" i="1" s="1"/>
  <c r="R31" i="1" s="1"/>
  <c r="R33" i="1" s="1"/>
  <c r="H196" i="1"/>
  <c r="K104" i="1"/>
  <c r="AD99" i="1" a="1"/>
  <c r="T195" i="1" l="1"/>
  <c r="T197" i="1" s="1"/>
  <c r="M196" i="1"/>
  <c r="P196" i="1" s="1"/>
  <c r="G32" i="1" s="1"/>
  <c r="G31" i="1" s="1"/>
  <c r="K32" i="1"/>
  <c r="AZ196" i="1"/>
  <c r="M98" i="1" s="1"/>
  <c r="AD98" i="1"/>
  <c r="AE96" i="1" s="1"/>
  <c r="AD99" i="1"/>
  <c r="D378" i="1"/>
  <c r="J98" i="1"/>
  <c r="D433" i="1" l="1"/>
  <c r="U198" i="1"/>
  <c r="G34" i="1" s="1"/>
  <c r="W198" i="1"/>
  <c r="K34" i="1" s="1"/>
  <c r="V198" i="1"/>
  <c r="G35" i="1" s="1"/>
  <c r="X198" i="1"/>
  <c r="K35" i="1" s="1"/>
  <c r="D442" i="1"/>
  <c r="D529" i="1"/>
  <c r="D420" i="1"/>
  <c r="D506" i="1"/>
  <c r="D542" i="1"/>
  <c r="D502" i="1"/>
  <c r="D434" i="1"/>
  <c r="D384" i="1"/>
  <c r="D393" i="1"/>
  <c r="D557" i="1"/>
  <c r="D440" i="1"/>
  <c r="D479" i="1"/>
  <c r="D549" i="1"/>
  <c r="D522" i="1"/>
  <c r="D493" i="1"/>
  <c r="D519" i="1"/>
  <c r="D472" i="1"/>
  <c r="Q196" i="1"/>
  <c r="R32" i="1" s="1"/>
  <c r="R34" i="1" s="1"/>
  <c r="D424" i="1"/>
  <c r="D413" i="1"/>
  <c r="D389" i="1"/>
  <c r="D427" i="1"/>
  <c r="D405" i="1"/>
  <c r="D530" i="1"/>
  <c r="D428" i="1"/>
  <c r="D544" i="1"/>
  <c r="D429" i="1"/>
  <c r="D421" i="1"/>
  <c r="D417" i="1"/>
  <c r="D379" i="1"/>
  <c r="D444" i="1"/>
  <c r="D497" i="1"/>
  <c r="D410" i="1"/>
  <c r="D481" i="1"/>
  <c r="D554" i="1"/>
  <c r="D539" i="1"/>
  <c r="D408" i="1"/>
  <c r="D407" i="1"/>
  <c r="D432" i="1"/>
  <c r="D552" i="1"/>
  <c r="D406" i="1"/>
  <c r="D448" i="1"/>
  <c r="D459" i="1"/>
  <c r="D387" i="1"/>
  <c r="D476" i="1"/>
  <c r="D514" i="1"/>
  <c r="D500" i="1"/>
  <c r="D535" i="1"/>
  <c r="D495" i="1"/>
  <c r="D510" i="1"/>
  <c r="D540" i="1"/>
  <c r="D381" i="1"/>
  <c r="D396" i="1"/>
  <c r="D509" i="1"/>
  <c r="D490" i="1"/>
  <c r="D453" i="1"/>
  <c r="D443" i="1"/>
  <c r="D436" i="1"/>
  <c r="D525" i="1"/>
  <c r="D489" i="1"/>
  <c r="D492" i="1"/>
  <c r="D520" i="1"/>
  <c r="D475" i="1"/>
  <c r="D470" i="1"/>
  <c r="D527" i="1"/>
  <c r="D430" i="1"/>
  <c r="D487" i="1"/>
  <c r="D517" i="1"/>
  <c r="D426" i="1"/>
  <c r="D494" i="1"/>
  <c r="D533" i="1"/>
  <c r="D461" i="1"/>
  <c r="D464" i="1"/>
  <c r="D411" i="1"/>
  <c r="D415" i="1"/>
  <c r="D485" i="1"/>
  <c r="D468" i="1"/>
  <c r="D390" i="1"/>
  <c r="D526" i="1"/>
  <c r="D555" i="1"/>
  <c r="D414" i="1"/>
  <c r="D474" i="1"/>
  <c r="D418" i="1"/>
  <c r="D558" i="1"/>
  <c r="D422" i="1"/>
  <c r="D482" i="1"/>
  <c r="D403" i="1"/>
  <c r="D465" i="1"/>
  <c r="D550" i="1"/>
  <c r="D450" i="1"/>
  <c r="D394" i="1"/>
  <c r="D452" i="1"/>
  <c r="D457" i="1"/>
  <c r="D402" i="1"/>
  <c r="D559" i="1"/>
  <c r="D471" i="1"/>
  <c r="D437" i="1"/>
  <c r="D425" i="1"/>
  <c r="D449" i="1"/>
  <c r="D547" i="1"/>
  <c r="D456" i="1"/>
  <c r="D469" i="1"/>
  <c r="D404" i="1"/>
  <c r="D441" i="1"/>
  <c r="D401" i="1"/>
  <c r="D528" i="1"/>
  <c r="D399" i="1"/>
  <c r="D503" i="1"/>
  <c r="D447" i="1"/>
  <c r="D511" i="1"/>
  <c r="D560" i="1"/>
  <c r="D454" i="1"/>
  <c r="D398" i="1"/>
  <c r="D400" i="1"/>
  <c r="D556" i="1"/>
  <c r="D458" i="1"/>
  <c r="D478" i="1"/>
  <c r="D507" i="1"/>
  <c r="D480" i="1"/>
  <c r="D545" i="1"/>
  <c r="D466" i="1"/>
  <c r="D536" i="1"/>
  <c r="D501" i="1"/>
  <c r="D386" i="1"/>
  <c r="D498" i="1"/>
  <c r="D392" i="1"/>
  <c r="D515" i="1"/>
  <c r="D397" i="1"/>
  <c r="D499" i="1"/>
  <c r="D383" i="1"/>
  <c r="D534" i="1"/>
  <c r="D382" i="1"/>
  <c r="D551" i="1"/>
  <c r="D508" i="1"/>
  <c r="D451" i="1"/>
  <c r="D419" i="1"/>
  <c r="D518" i="1"/>
  <c r="D455" i="1"/>
  <c r="D524" i="1"/>
  <c r="D516" i="1"/>
  <c r="D445" i="1"/>
  <c r="D512" i="1"/>
  <c r="D484" i="1"/>
  <c r="D460" i="1"/>
  <c r="D409" i="1"/>
  <c r="D391" i="1"/>
  <c r="D537" i="1"/>
  <c r="D541" i="1"/>
  <c r="D496" i="1"/>
  <c r="D467" i="1"/>
  <c r="D483" i="1"/>
  <c r="D423" i="1"/>
  <c r="D431" i="1"/>
  <c r="D521" i="1"/>
  <c r="D546" i="1"/>
  <c r="D446" i="1"/>
  <c r="D395" i="1"/>
  <c r="D463" i="1"/>
  <c r="D523" i="1"/>
  <c r="D380" i="1"/>
  <c r="D504" i="1"/>
  <c r="D462" i="1"/>
  <c r="D488" i="1"/>
  <c r="D477" i="1"/>
  <c r="D486" i="1"/>
  <c r="D531" i="1"/>
  <c r="D513" i="1"/>
  <c r="D543" i="1"/>
  <c r="D553" i="1"/>
  <c r="D438" i="1"/>
  <c r="D548" i="1"/>
  <c r="D491" i="1"/>
  <c r="D505" i="1"/>
  <c r="D538" i="1"/>
  <c r="D439" i="1"/>
  <c r="D435" i="1"/>
  <c r="D385" i="1"/>
  <c r="D388" i="1"/>
  <c r="D532" i="1"/>
  <c r="D412" i="1"/>
  <c r="D473" i="1"/>
  <c r="D416" i="1"/>
  <c r="J32" i="1"/>
  <c r="AF96" i="1"/>
  <c r="W96" i="1"/>
  <c r="Z96" i="1"/>
  <c r="S96" i="1"/>
  <c r="AB96" i="1"/>
  <c r="T96" i="1"/>
  <c r="AG96" i="1"/>
  <c r="AC96" i="1"/>
  <c r="U96" i="1"/>
  <c r="AA96" i="1"/>
  <c r="Y96" i="1"/>
  <c r="V96" i="1"/>
  <c r="AD96" i="1"/>
  <c r="X96" i="1"/>
  <c r="BA196" i="1"/>
  <c r="L98" i="1" s="1"/>
  <c r="H98" i="1"/>
  <c r="J99" i="1"/>
  <c r="K31" i="1" l="1" a="1"/>
  <c r="K31" i="1" s="1"/>
  <c r="R29"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<sst xmlns="http://schemas.openxmlformats.org/spreadsheetml/2006/main" count="2299" uniqueCount="482">
  <si>
    <t>kN</t>
  </si>
  <si>
    <t>Inputs</t>
  </si>
  <si>
    <t>Outputs</t>
  </si>
  <si>
    <t>m</t>
  </si>
  <si>
    <t>T1</t>
  </si>
  <si>
    <t>T2</t>
  </si>
  <si>
    <t>Te</t>
  </si>
  <si>
    <t>Effective Tension</t>
  </si>
  <si>
    <t>By</t>
  </si>
  <si>
    <t>Rev</t>
  </si>
  <si>
    <t>Date</t>
  </si>
  <si>
    <t>BJL</t>
  </si>
  <si>
    <t>A</t>
  </si>
  <si>
    <t>BW</t>
  </si>
  <si>
    <t>D</t>
  </si>
  <si>
    <t>Wrap Angle</t>
  </si>
  <si>
    <t>a</t>
  </si>
  <si>
    <t>deg.</t>
  </si>
  <si>
    <t>Tes</t>
  </si>
  <si>
    <t>kPa</t>
  </si>
  <si>
    <t>B</t>
  </si>
  <si>
    <t>C</t>
  </si>
  <si>
    <t>Conditions</t>
  </si>
  <si>
    <t>Type</t>
  </si>
  <si>
    <t>Factors</t>
  </si>
  <si>
    <t>Diamond Ceramic</t>
  </si>
  <si>
    <t>Diamond Rubber</t>
  </si>
  <si>
    <t>Slice Area</t>
  </si>
  <si>
    <t>m^2</t>
  </si>
  <si>
    <t>dA</t>
  </si>
  <si>
    <t>mm</t>
  </si>
  <si>
    <t>Mpa</t>
  </si>
  <si>
    <t>Poissons</t>
  </si>
  <si>
    <t>Width</t>
  </si>
  <si>
    <t>Elastic Modulus</t>
  </si>
  <si>
    <t>Eb</t>
  </si>
  <si>
    <t>Belt Wrap Length</t>
  </si>
  <si>
    <t>Lbw</t>
  </si>
  <si>
    <t>Elastic Strain</t>
  </si>
  <si>
    <t>Les</t>
  </si>
  <si>
    <t>Slice Length</t>
  </si>
  <si>
    <t>dL</t>
  </si>
  <si>
    <t xml:space="preserve">m </t>
  </si>
  <si>
    <t>Wrap Position
(deg)</t>
  </si>
  <si>
    <t>Shear Modulus</t>
  </si>
  <si>
    <t>Gl</t>
  </si>
  <si>
    <t>MPa</t>
  </si>
  <si>
    <t>Displacement (mm)</t>
  </si>
  <si>
    <t>Belt Tension Change
(kN)</t>
  </si>
  <si>
    <t>Belt Length Change
(mm)</t>
  </si>
  <si>
    <t>Durometer (Shore A)</t>
  </si>
  <si>
    <t>Ebc</t>
  </si>
  <si>
    <t>Gbc</t>
  </si>
  <si>
    <t>ubc</t>
  </si>
  <si>
    <t>Belt Cover Shear Constant</t>
  </si>
  <si>
    <t>Kl</t>
  </si>
  <si>
    <t>Lagging Shear Constant</t>
  </si>
  <si>
    <t>kPa/mm</t>
  </si>
  <si>
    <t>Kb</t>
  </si>
  <si>
    <t>tbc</t>
  </si>
  <si>
    <t>tl</t>
  </si>
  <si>
    <t>Belt Elasticity</t>
  </si>
  <si>
    <t>Belt Elastic Modulus</t>
  </si>
  <si>
    <t>Average Shear Stress</t>
  </si>
  <si>
    <t>Belt Tension 
(kN)</t>
  </si>
  <si>
    <t>Contact Pressure (kPa)</t>
  </si>
  <si>
    <t>Shear Error</t>
  </si>
  <si>
    <t>Friction Limit (u)</t>
  </si>
  <si>
    <t>Shear Stress Limit (kPa)</t>
  </si>
  <si>
    <t>Developed Friction  (u)</t>
  </si>
  <si>
    <t>Belt Carcass</t>
  </si>
  <si>
    <t>Dry Clean</t>
  </si>
  <si>
    <t>Med Ceramic</t>
  </si>
  <si>
    <t>Lim</t>
  </si>
  <si>
    <t>Asm</t>
  </si>
  <si>
    <t>Full Ceramic</t>
  </si>
  <si>
    <t>b</t>
  </si>
  <si>
    <t>c</t>
  </si>
  <si>
    <t>Solver</t>
  </si>
  <si>
    <t>Slip Condition</t>
  </si>
  <si>
    <t>Lagging Product</t>
  </si>
  <si>
    <t>kN/m</t>
  </si>
  <si>
    <t>Tension</t>
  </si>
  <si>
    <t>Duro</t>
  </si>
  <si>
    <t>Friction Data Coeff</t>
  </si>
  <si>
    <t>Friction Data Limits</t>
  </si>
  <si>
    <t>Pulley Details</t>
  </si>
  <si>
    <t>Belt Cover Details</t>
  </si>
  <si>
    <t>Lagging Details</t>
  </si>
  <si>
    <t>Elastotec Diamond Rubber</t>
  </si>
  <si>
    <t>Pulley Lagging Performance Envelope Data</t>
  </si>
  <si>
    <t>Location</t>
  </si>
  <si>
    <t>Average Normal Pressure (kPa)</t>
  </si>
  <si>
    <t>Data</t>
  </si>
  <si>
    <t>Thickness</t>
  </si>
  <si>
    <t>Graphical Data</t>
  </si>
  <si>
    <t>Wet Dirty</t>
  </si>
  <si>
    <t>Results:</t>
  </si>
  <si>
    <t>Friction Type</t>
  </si>
  <si>
    <t>Friction Lagging Type</t>
  </si>
  <si>
    <t>G</t>
  </si>
  <si>
    <t>Units</t>
  </si>
  <si>
    <t>Select</t>
  </si>
  <si>
    <t>Lagging Thickness</t>
  </si>
  <si>
    <t>Parameter</t>
  </si>
  <si>
    <t>(From FEA Analysis)</t>
  </si>
  <si>
    <t>Unique Lagging</t>
  </si>
  <si>
    <t>Unique Thickness</t>
  </si>
  <si>
    <t>Unique Duro</t>
  </si>
  <si>
    <t>Elastotec Extreme Rubber</t>
  </si>
  <si>
    <t>Contact Cover Thickness</t>
  </si>
  <si>
    <t>T2 Min</t>
  </si>
  <si>
    <t>Shear Limit</t>
  </si>
  <si>
    <t>T2 Pressure</t>
  </si>
  <si>
    <t>Residual</t>
  </si>
  <si>
    <t>Contact Face Limit</t>
  </si>
  <si>
    <t>Tread Root Limit</t>
  </si>
  <si>
    <t>Pulley Shell Limit</t>
  </si>
  <si>
    <t>Tile Bond Limit</t>
  </si>
  <si>
    <t>degrees of local slip =</t>
  </si>
  <si>
    <t>of available traction util.</t>
  </si>
  <si>
    <t>Contact Face Shear Stress util.</t>
  </si>
  <si>
    <t>Tread Root Shear Stress util.</t>
  </si>
  <si>
    <t>Pulley Shell Shear Stress util.</t>
  </si>
  <si>
    <t>Tile Bond Shear Stress util.</t>
  </si>
  <si>
    <t>Lagging</t>
  </si>
  <si>
    <t>Traction</t>
  </si>
  <si>
    <t>Project/Conveyor</t>
  </si>
  <si>
    <t>Pulley/Location</t>
  </si>
  <si>
    <t>E</t>
  </si>
  <si>
    <t>Added Fabric Belt Types</t>
  </si>
  <si>
    <t>Enabled Automatic Y axis scaling to the Pulley Lagging Analysis plot.</t>
  </si>
  <si>
    <t>Adjusted Dry Clean Ceramic Lagging asymptote friction point.</t>
  </si>
  <si>
    <t>F</t>
  </si>
  <si>
    <t>Added a Solver solved indicator in the results G28.</t>
  </si>
  <si>
    <t>Fix bug whereby full slip condition was not reported correctly.</t>
  </si>
  <si>
    <t>Updated the Solver calls to be more resilient.</t>
  </si>
  <si>
    <t>Updated Lagging Performance Envelopes</t>
  </si>
  <si>
    <t>Expanded envelopes Normal pressure out to 1500 kPa</t>
  </si>
  <si>
    <t>N/A</t>
  </si>
  <si>
    <t>H</t>
  </si>
  <si>
    <t>Updated lagging shear modulus values to actual FEA results.</t>
  </si>
  <si>
    <t>I</t>
  </si>
  <si>
    <t>Belt Safety Factor</t>
  </si>
  <si>
    <t>sf</t>
  </si>
  <si>
    <t>:1</t>
  </si>
  <si>
    <t>Belt Speed</t>
  </si>
  <si>
    <t>V</t>
  </si>
  <si>
    <t>Demand Power</t>
  </si>
  <si>
    <t>P</t>
  </si>
  <si>
    <t>m/s</t>
  </si>
  <si>
    <t>kW</t>
  </si>
  <si>
    <t>Added Belt safety factor and demand power calculation checks</t>
  </si>
  <si>
    <t>Updated Extreme Rubber Lagging 25mm and added 16mm</t>
  </si>
  <si>
    <t>Added belt slip speed, displacement and belt contracture indicators</t>
  </si>
  <si>
    <t>Added 12mm Diamond Rubber Lagging envelope data.</t>
  </si>
  <si>
    <t>Clean/Dry Friction Limit (u)</t>
  </si>
  <si>
    <t>Wet/Dirty Friction Limit (u)</t>
  </si>
  <si>
    <t>Revised Lagging Analysis plot to show both clean/dry and Wet/Dirty friction limit lines wit dynamic colors.</t>
  </si>
  <si>
    <t>Revised lagging shear modulus (revert) to correct so stiff lagging values</t>
  </si>
  <si>
    <t>J</t>
  </si>
  <si>
    <t>Updated 25mm Diamond and Extreme rubber Lagging envelope data.</t>
  </si>
  <si>
    <t>Differential Induced Shear</t>
  </si>
  <si>
    <t>Avg</t>
  </si>
  <si>
    <t>Dd</t>
  </si>
  <si>
    <t>Effective Strain Redistribution Length</t>
  </si>
  <si>
    <t>Posn (mm)</t>
  </si>
  <si>
    <t>Baseline Tension (kN)</t>
  </si>
  <si>
    <t>Radial Deviation (mm)</t>
  </si>
  <si>
    <t>Differential Path Length (mm)</t>
  </si>
  <si>
    <t>Differential Tension (kN)</t>
  </si>
  <si>
    <t>Average Path</t>
  </si>
  <si>
    <t>Maximum Path</t>
  </si>
  <si>
    <t>Path Differential (max)</t>
  </si>
  <si>
    <t>mm -&gt; radius</t>
  </si>
  <si>
    <t>Te Shear Stress (kPa)</t>
  </si>
  <si>
    <t>Diff. Shear Stress (kPa)</t>
  </si>
  <si>
    <t>Shear Stress (kPa)</t>
  </si>
  <si>
    <t>Tension Differential (max)</t>
  </si>
  <si>
    <t>Diff Displacement (mm)</t>
  </si>
  <si>
    <t>Slip Distance (mm)</t>
  </si>
  <si>
    <t>X</t>
  </si>
  <si>
    <t>Y</t>
  </si>
  <si>
    <t>differential redistribution factor</t>
  </si>
  <si>
    <t>Added Pulley differntial lagging shear modules</t>
  </si>
  <si>
    <t>Added protrusion and wear shapes for differential shear analysis</t>
  </si>
  <si>
    <t>Added slip power indicator for wear evaluation</t>
  </si>
  <si>
    <t>Capped lagging envelope utilization to 1000%</t>
  </si>
  <si>
    <t>K</t>
  </si>
  <si>
    <t>Changed Solver to manual to avoid unnecessary updates during data entry</t>
  </si>
  <si>
    <t>Automatically expand Lagging Envelope Y axis range to suit lagging details</t>
  </si>
  <si>
    <t>Max</t>
  </si>
  <si>
    <t>Revised Lagging Utilization algorithm to be more accurate</t>
  </si>
  <si>
    <t>Max Shear</t>
  </si>
  <si>
    <t>Limitation of Liability</t>
  </si>
  <si>
    <t>The Lagging Analysis and Lagging Performance Software tools are intended to provide comparative information on the theoretical performance of different lagging types based on a standard set of variables. Elastotec does not guarantee that the information sourced from the software will be accurate, complete, reliable or up to date and suitable for your own individual purposes when applied in real world situations. The software tools are intended to be used for informational purposes only and are not a substitute for the advice of a qualified and experienced engineer.</t>
  </si>
  <si>
    <t>The Lagging Analyst and Lagging Performance Software are provided to you “as is” and on an “as available” basis. To the maximum extent permitted by law, Elastotec and its suppliers expressly exclude all representations, warranties, guarantees and endorsements, whether express or implied, in relation to the Lagging Analyst and Lagging Performance Software including, without limitation, any warranty that the software will meet your requirements or expectations or that the operation of the software will be uninterrupted or error free. </t>
  </si>
  <si>
    <t>You use the Lagging Analyst and Lagging Performance Software at you own discretion and risk and will be solely responsible for any loss or damage of any kind that you suffer as a result of or in connection with any disruption or other difficulties you experience in using the software or arising from your reliance on any information obtained via the software.</t>
  </si>
  <si>
    <t>Added legal - Limitation of Liability - Tab sheet</t>
  </si>
  <si>
    <t>Minimum Path</t>
  </si>
  <si>
    <t>L</t>
  </si>
  <si>
    <t>Corrected Induced shear to use correct magnitude of differential shear under -ve deveiation conditions</t>
  </si>
  <si>
    <t>Added 12mm and 25mm Elastotec Ceramic Diamond Lagging envelopes to the library</t>
  </si>
  <si>
    <t>M</t>
  </si>
  <si>
    <t>Added equivalent Euler friction factor for reference</t>
  </si>
  <si>
    <t>Improved minimum T2 required algorithym to eliminate local slip</t>
  </si>
  <si>
    <t>Added 25mm 50 Duro Diamond Rubber Lagging envelope data.</t>
  </si>
  <si>
    <t>Renamed HTB and Extreme and added 25mm extreme envelope.</t>
  </si>
  <si>
    <t>Elastotec HTB Rubber</t>
  </si>
  <si>
    <t>Added Hand Cut Diamond Rubber Lagging Envelope 15mm for Filter Belt</t>
  </si>
  <si>
    <t>Hand Cut Diamond Rubber 300x105x5</t>
  </si>
  <si>
    <t>Variant Friction Coefficients of Lagging</t>
  </si>
  <si>
    <t>Expanded Hand Cut Diamond and Extreme envelopes out to 1500kPa normal pressures.</t>
  </si>
  <si>
    <t>HC Diamond Rubber 90x50x10</t>
  </si>
  <si>
    <t>Added 30mm 50 Duro Diamond Rubber Lagging envelope data.</t>
  </si>
  <si>
    <t>kips</t>
  </si>
  <si>
    <t>fpm</t>
  </si>
  <si>
    <t>hp</t>
  </si>
  <si>
    <t>ksi</t>
  </si>
  <si>
    <t>in</t>
  </si>
  <si>
    <t>deg</t>
  </si>
  <si>
    <t>Metric</t>
  </si>
  <si>
    <t>Imperial</t>
  </si>
  <si>
    <t>Conversion</t>
  </si>
  <si>
    <t>Shear Stress</t>
  </si>
  <si>
    <t>Contact Pressure</t>
  </si>
  <si>
    <t>PScale</t>
  </si>
  <si>
    <t>approx. minimum T2 tension to avoid localized slip</t>
  </si>
  <si>
    <t>Maximum shear stress</t>
  </si>
  <si>
    <t>Belt contracture</t>
  </si>
  <si>
    <t>of localized slip movement</t>
  </si>
  <si>
    <t>of width - slip wear power</t>
  </si>
  <si>
    <t>Fscale</t>
  </si>
  <si>
    <t>Dscale</t>
  </si>
  <si>
    <t>Posn</t>
  </si>
  <si>
    <t>Baseline Tension</t>
  </si>
  <si>
    <t>Radial Deviation</t>
  </si>
  <si>
    <t>Differential Strain</t>
  </si>
  <si>
    <t>N</t>
  </si>
  <si>
    <t>Added Imperial analysis version with an entry selection.</t>
  </si>
  <si>
    <t>piw</t>
  </si>
  <si>
    <t>Belt Rating</t>
  </si>
  <si>
    <t>ST/PN</t>
  </si>
  <si>
    <t>Dev</t>
  </si>
  <si>
    <t>Wear Profile</t>
  </si>
  <si>
    <t>Belt Cover Wear Depth</t>
  </si>
  <si>
    <t>Belt Cover Wear Width</t>
  </si>
  <si>
    <t>Lagging Wear Depth</t>
  </si>
  <si>
    <t>Lagging Wear Width</t>
  </si>
  <si>
    <t>Combined Wear Depth</t>
  </si>
  <si>
    <t>Dlw</t>
  </si>
  <si>
    <t>Dbw</t>
  </si>
  <si>
    <t>Dld</t>
  </si>
  <si>
    <t>Dbd</t>
  </si>
  <si>
    <t>Differential radius Belt</t>
  </si>
  <si>
    <t>Differential radius Lagging</t>
  </si>
  <si>
    <t>Radial Deviation Belt (mm)</t>
  </si>
  <si>
    <t>Radial Deviation Lagging (mm)</t>
  </si>
  <si>
    <t>Modified Differential shear modules to cater for belt and lagging wear.</t>
  </si>
  <si>
    <t>O</t>
  </si>
  <si>
    <t>Revised and renamed envelopes for Elastotec 15% Ceramic Diamond.</t>
  </si>
  <si>
    <t>O1</t>
  </si>
  <si>
    <t>Added 20% ceramic lagging 12mm and 25mm envelopes</t>
  </si>
  <si>
    <t>Added Euler drive utilization check on data inputs</t>
  </si>
  <si>
    <t>Euler</t>
  </si>
  <si>
    <t>Euler Friction Equivalent</t>
  </si>
  <si>
    <t>u</t>
  </si>
  <si>
    <t>T1/T2 Ratio</t>
  </si>
  <si>
    <t>Euler Maximum allowable tension ratio</t>
  </si>
  <si>
    <t>Euler Utilization</t>
  </si>
  <si>
    <t>h/a</t>
  </si>
  <si>
    <t>Annual Operating Hours</t>
  </si>
  <si>
    <t>h</t>
  </si>
  <si>
    <t>Euler equivalent friction</t>
  </si>
  <si>
    <t>cycles</t>
  </si>
  <si>
    <t>Lagging cycles per 5 years</t>
  </si>
  <si>
    <t>d</t>
  </si>
  <si>
    <t>n</t>
  </si>
  <si>
    <t>Least Squares method equation fit calculation Rubber SN curve</t>
  </si>
  <si>
    <t>Allowable Fatigue Stress</t>
  </si>
  <si>
    <t>Sig allow</t>
  </si>
  <si>
    <t>psi</t>
  </si>
  <si>
    <t>Envelope Base</t>
  </si>
  <si>
    <t>Stressfactor</t>
  </si>
  <si>
    <t>Added variable performance envelope based upon actual pulley cycles (speed, diameter and annual operating hours)</t>
  </si>
  <si>
    <t>Q</t>
  </si>
  <si>
    <t>Change to Laggingselect logo by Elastotec</t>
  </si>
  <si>
    <t>Changed pulley diameter input D21 to over shell and Tool automatically add lagging thickness from selection to determine overall pulley diameter.</t>
  </si>
  <si>
    <t>Pulley Diameter over shell</t>
  </si>
  <si>
    <t>Pulley overall Diameter</t>
  </si>
  <si>
    <t>Ds</t>
  </si>
  <si>
    <t>Average Offset</t>
  </si>
  <si>
    <t>R</t>
  </si>
  <si>
    <t>Eliminated Differential Shear Solver module - simplified</t>
  </si>
  <si>
    <t>Area under curve</t>
  </si>
  <si>
    <t>New Utilization (Area Method)</t>
  </si>
  <si>
    <t>Max Contact Pressure</t>
  </si>
  <si>
    <t>Min Contact Pressure</t>
  </si>
  <si>
    <t>Change algorythm for Lagging envelope utilization</t>
  </si>
  <si>
    <t>Transition Induced Shear</t>
  </si>
  <si>
    <t>Transition Length</t>
  </si>
  <si>
    <t>Transition Height</t>
  </si>
  <si>
    <t>Trough Depth</t>
  </si>
  <si>
    <t>Center Roll Width</t>
  </si>
  <si>
    <t>Wing Length</t>
  </si>
  <si>
    <t>Trough Angle</t>
  </si>
  <si>
    <t>degrees</t>
  </si>
  <si>
    <t>S Beta</t>
  </si>
  <si>
    <t>Review Belt trough transition indiced differential shear stress</t>
  </si>
  <si>
    <t>Revised differential shear strain redistribution length as a function of belt Elastic Modulus</t>
  </si>
  <si>
    <t>Strain Redistribution</t>
  </si>
  <si>
    <t>duro</t>
  </si>
  <si>
    <t>Belt Rubber Hardness</t>
  </si>
  <si>
    <t>Added belt rubber duro input cell H87 which affects strain redistribution length</t>
  </si>
  <si>
    <t>E modulus</t>
  </si>
  <si>
    <t>Redistribution factor</t>
  </si>
  <si>
    <t>mm  width dt</t>
  </si>
  <si>
    <t>Transition Width offset
(X mm)</t>
  </si>
  <si>
    <t>Transition Profile</t>
  </si>
  <si>
    <t>Ta</t>
  </si>
  <si>
    <t>Wcr</t>
  </si>
  <si>
    <t>Th</t>
  </si>
  <si>
    <t>Tl</t>
  </si>
  <si>
    <t>Td</t>
  </si>
  <si>
    <t>Transition Stress Factor (max.)</t>
  </si>
  <si>
    <t>Transition Stress Factor (min.)</t>
  </si>
  <si>
    <t>Radial deviation and transitions contribute to Tension differential by combining maximum negative tension differential around the pulley.</t>
  </si>
  <si>
    <t>Transition Height TOP (mm)</t>
  </si>
  <si>
    <t>Normalized Tension (kN)</t>
  </si>
  <si>
    <t>Min</t>
  </si>
  <si>
    <t>Diff</t>
  </si>
  <si>
    <t>Offset</t>
  </si>
  <si>
    <t>Manual</t>
  </si>
  <si>
    <t>Corrected Induced Differential Tension calculation for Transitions and Bulge calibrating using P777 FEA</t>
  </si>
  <si>
    <t>Differential Stress Factor (max.)</t>
  </si>
  <si>
    <t>Differential Stress Factor (min.)</t>
  </si>
  <si>
    <t>Equiv. Belt Tension</t>
  </si>
  <si>
    <t>Baseline (kN)</t>
  </si>
  <si>
    <t>Tension Combined (kN)</t>
  </si>
  <si>
    <t>S.F.</t>
  </si>
  <si>
    <t>Differential Strain using transition length</t>
  </si>
  <si>
    <t>Differential Strain using wrap plus redistribution length</t>
  </si>
  <si>
    <t>Affects strain redistribution length and redistribution factor</t>
  </si>
  <si>
    <t>Safe Zone</t>
  </si>
  <si>
    <t>Risk Zone</t>
  </si>
  <si>
    <t>Slip Zone</t>
  </si>
  <si>
    <t>Fixed Divide by zero but with transition length.</t>
  </si>
  <si>
    <t>S3</t>
  </si>
  <si>
    <t>Double Row Ceramic (DRC) lagging types added.</t>
  </si>
  <si>
    <t>S4</t>
  </si>
  <si>
    <t>Corrected shading issue with hidden columns…. Crazy Microsoft!</t>
  </si>
  <si>
    <t>Corrected Manual offset H84 to zero default and corrected combined plots scaling issue.</t>
  </si>
  <si>
    <t>S5</t>
  </si>
  <si>
    <t>Corrected Hand Cut Diamond 90x50x10 25mm lagging envelope</t>
  </si>
  <si>
    <t>Added Herringbone 75x6 16mm - 60 Duro</t>
  </si>
  <si>
    <t>S6</t>
  </si>
  <si>
    <t>Added Herringbone 75x6 16mm and 25mm - 65 Duro</t>
  </si>
  <si>
    <t>Renamed Herringbone pattern to P x D x W format as agreed with Elastotec</t>
  </si>
  <si>
    <t>Herringbone Rubber 106P x 8D x 6W</t>
  </si>
  <si>
    <t>Renamed Herringbone Rubber 150x8 to Herringbone Rubber 106P x 8D x 6W</t>
  </si>
  <si>
    <t>contact interface relative speed</t>
  </si>
  <si>
    <t>S7</t>
  </si>
  <si>
    <t>Added 38% ceramic dimpled 15mm thk - 65 Duro lagging envelope</t>
  </si>
  <si>
    <t>S8</t>
  </si>
  <si>
    <t>Fixed Imperial to Metric conversion (column added)</t>
  </si>
  <si>
    <t>Fixed tile bond envelope labelling on the plot also affected by the Imperial to Metric conversion</t>
  </si>
  <si>
    <t>S9</t>
  </si>
  <si>
    <t>Fixed envelope utilization for Imperial units</t>
  </si>
  <si>
    <t>Thick</t>
  </si>
  <si>
    <t>12mm (1/2")</t>
  </si>
  <si>
    <t>15mm (5/8")</t>
  </si>
  <si>
    <t>16mm (5/8")</t>
  </si>
  <si>
    <t>25mm (1")</t>
  </si>
  <si>
    <t>30mm (1-1/4")</t>
  </si>
  <si>
    <t>6mm (1/4")</t>
  </si>
  <si>
    <t>Changed lagging thickness to combined metric and imperial description</t>
  </si>
  <si>
    <t>S10</t>
  </si>
  <si>
    <t>Changes Envelope utilization conditional formatting colour for Tread Root to Orange from 100% to 200%</t>
  </si>
  <si>
    <t>S11</t>
  </si>
  <si>
    <t>Added DRC 19, 21 and 40 Lagging Envelopes (modified)</t>
  </si>
  <si>
    <t>S12</t>
  </si>
  <si>
    <t>Changed cell R33 to report relative creep speed rather than labelled as slip speed and used average around full pulley wrap.</t>
  </si>
  <si>
    <t>Changed laggng envelope plot to not zero at higher pressures when no data present. Avoids misunderstanding of envelope limits.</t>
  </si>
  <si>
    <t>Added AGSCO Arrow Head Rubber envelope for comparison only</t>
  </si>
  <si>
    <t>Chevron Rubber 75P x 6D x 6W</t>
  </si>
  <si>
    <t>Renamed Herringbone 75P x 6D x 6W to Chevron as clarified by Elastotec</t>
  </si>
  <si>
    <t>S13</t>
  </si>
  <si>
    <t>Added 20mm DRC 42% Extreme Lagging Envelope</t>
  </si>
  <si>
    <t>20mm (3/4")</t>
  </si>
  <si>
    <t>Utilization</t>
  </si>
  <si>
    <t>Tread Root Interpolate</t>
  </si>
  <si>
    <t>S14</t>
  </si>
  <si>
    <t>Changed lagging envelope utilization % calculation to linear interpolate to match the online backend calculation engine (more accurate)</t>
  </si>
  <si>
    <t>Contact Face Interpolate</t>
  </si>
  <si>
    <t>Pulley Shell Interpolate</t>
  </si>
  <si>
    <t>Tile Bond Interpolate</t>
  </si>
  <si>
    <t>Added 15mm DRC 42% Extreme Lagging Envelope</t>
  </si>
  <si>
    <t>T</t>
  </si>
  <si>
    <t>Fixed Column AU to Calculate Differntial Tension based upon Differntial Strain + Strain Redistribution</t>
  </si>
  <si>
    <t>Changed Differential Shear plot to show Differential Shear rather than Differntial Tension</t>
  </si>
  <si>
    <t>Diff Shear Stress (kPa)</t>
  </si>
  <si>
    <t>Direct Bond Dimple</t>
  </si>
  <si>
    <t>Extreme Rubber</t>
  </si>
  <si>
    <t>Polyurethane</t>
  </si>
  <si>
    <t>Updated 05/Mar/2024</t>
  </si>
  <si>
    <t>Elastotec TUNRA Friction Testing - 5mm/s @ 6.35mm Displacement</t>
  </si>
  <si>
    <t>Herringbone Rubber</t>
  </si>
  <si>
    <t>Removed Wet Dirty Friction Limt and expressed as a factor of Dry Clean based upon DeVries test work since TUNRA friction not available.</t>
  </si>
  <si>
    <t>Factor</t>
  </si>
  <si>
    <t>Assumed same as Med Ceramic until specific Friction data available.</t>
  </si>
  <si>
    <t>Notes</t>
  </si>
  <si>
    <t>Added Elastotec friction data from TUNRA Testing 5mm/s @ 6.35mm. Revised Lagging Envelopes to new Friction data types.</t>
  </si>
  <si>
    <t>Bond</t>
  </si>
  <si>
    <t>HC</t>
  </si>
  <si>
    <t>Pulley Bond</t>
  </si>
  <si>
    <t>Pulley Bond Type</t>
  </si>
  <si>
    <t>Fixed bug with lagging envelope utilization from S14 when switching to imperial units.</t>
  </si>
  <si>
    <t>Bondfactor</t>
  </si>
  <si>
    <t>Transitions don’t contribute to path differential length, only Tension differential.</t>
  </si>
  <si>
    <t>Base (mm) +50mm offset for regen</t>
  </si>
  <si>
    <t>Shear Stress (abs)</t>
  </si>
  <si>
    <t>DB</t>
  </si>
  <si>
    <t>Hot Vulcanized</t>
  </si>
  <si>
    <t xml:space="preserve">Fixed bug with new lagging friction when selecting lagging types </t>
  </si>
  <si>
    <t>Added Hot and Cold bond types to each lagging product</t>
  </si>
  <si>
    <t>Minor updates to axis range and solver base in prep for regen capabilities</t>
  </si>
  <si>
    <t>Beta Regen drive analysis (to be fully tested)</t>
  </si>
  <si>
    <t>Lagging products renamed and order changed</t>
  </si>
  <si>
    <t>Steel</t>
  </si>
  <si>
    <t>Elastotec Diamond 15% Dimpled Ceramic</t>
  </si>
  <si>
    <t>Elastotec Checkerboard 20% Dimpled Ceramic</t>
  </si>
  <si>
    <t>Elastotec Single Row 19% Dimpled Ceramic</t>
  </si>
  <si>
    <t>Elastotec Medium Single Row 38% Smooth Ceramic</t>
  </si>
  <si>
    <t>Elastotec Medium Single Row 38% Dimpled Ceramic</t>
  </si>
  <si>
    <t>Elastotec Double Row 40% Dimpled Ceramic</t>
  </si>
  <si>
    <t>Elastotec Medium Double Row 42% Dimpled Ceramic</t>
  </si>
  <si>
    <t>Elastotec Medium Double Row 42% Smooth Ceramic</t>
  </si>
  <si>
    <t>Elastotec Extreme 42% Dimpled Ceramic</t>
  </si>
  <si>
    <t>Elastotec Full 80% Dimpled Ceramic</t>
  </si>
  <si>
    <t>Elastotec Full 80% Smooth Ceramic</t>
  </si>
  <si>
    <t>Elastotec Extreme 80% Dimpled Ceramic</t>
  </si>
  <si>
    <t>Elastotec Direct Bond Dimpled</t>
  </si>
  <si>
    <t>Elastotec Direct Bond Smooth</t>
  </si>
  <si>
    <t>T3</t>
  </si>
  <si>
    <t>Shear Stress Limit</t>
  </si>
  <si>
    <t>Max Lagging</t>
  </si>
  <si>
    <t>Min Lagging</t>
  </si>
  <si>
    <t>Enable Under Curve</t>
  </si>
  <si>
    <t>T4</t>
  </si>
  <si>
    <t>Fixed Lagging Envelope lookup cell references</t>
  </si>
  <si>
    <t>Changes Envelope utilization calculation to only extract between lagging envelope lower and upper bounds</t>
  </si>
  <si>
    <t>T5</t>
  </si>
  <si>
    <t>Minor fix to utilization for handling outside curve utilization</t>
  </si>
  <si>
    <t>Fixed weighting on lagging envelope utilization - was skewing odd analysis data</t>
  </si>
  <si>
    <t>Area under Application</t>
  </si>
  <si>
    <t>T6</t>
  </si>
  <si>
    <t>Added HC Diamond and Herringbone Rubber Lagging at 85 duro (aged) for Chuqui Analysis</t>
  </si>
  <si>
    <t>Corrected safe zone ares for envelope plot at high pressures</t>
  </si>
  <si>
    <t>T7</t>
  </si>
  <si>
    <t>Correct Pressure scaling on envelope for Imperial calculation units</t>
  </si>
  <si>
    <t>T8</t>
  </si>
  <si>
    <t>Corrected formula for Slip Wear Power - incorrect derivation was identified during CNUL review.</t>
  </si>
  <si>
    <t>Changes Envelope utilization calculation to use absolute values to cater for regen applications</t>
  </si>
  <si>
    <t>Fixed bug in Lagging Utilization with Direct Bond Ceramic lagging types.</t>
  </si>
  <si>
    <t>CV3035</t>
  </si>
  <si>
    <t>Fixed bug in Wet/Dirty friction lookup (legacy from rev T)</t>
  </si>
  <si>
    <t>T9</t>
  </si>
  <si>
    <t>Fixed bug with envelope scaling between high and low pressures ranges</t>
  </si>
  <si>
    <t>T10</t>
  </si>
  <si>
    <t>Elastotec Large Diamond Rubber</t>
  </si>
  <si>
    <t>Added Elastotec Large Diamond Rubber 65 duro in 12 and 20mm thickness envelopes</t>
  </si>
  <si>
    <t>Corrected envelope lookup bug in cell Z108</t>
  </si>
  <si>
    <t>T11</t>
  </si>
  <si>
    <t>T12</t>
  </si>
  <si>
    <t>SOLVED</t>
  </si>
  <si>
    <t>Added Elastotec DRC 42% Ceramic standard Dimpled and Smooth tile 65 duro in 15, 20 and 25mm thicknesses envelopes</t>
  </si>
  <si>
    <t>T13</t>
  </si>
  <si>
    <t>Added Elastotec 38% Ceramic standard 38% in dimpled and smooth - 20mm thick.</t>
  </si>
  <si>
    <t>T14</t>
  </si>
  <si>
    <t>Added ElastotecDRC 32% Round Tiled Dimpled 15 and 20mm thick.</t>
  </si>
  <si>
    <t>Elastotec Double Row 32% Round Dimpled Ceramic</t>
  </si>
  <si>
    <t>Seconday Drive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</si>
</sst>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
    <numFmt numFmtId="166" formatCode="0.0000"/>
    <numFmt numFmtId="167" formatCode="0.0"/>
    <numFmt numFmtId="168" formatCode="0.000000"/>
    <numFmt numFmtId="169" formatCode="#,##0.000"/>
    <numFmt numFmtId="170" formatCode="#,##0.0"/>
    <numFmt numFmtId="171" formatCode="[$-409]dd\-mmm\-yy;@"/>
    <numFmt numFmtId="172" formatCode="0.000000000000"/>
  </numFmts>
  <fonts count="9" x14ac:knownFonts="1">
    <font>
      <sz val="11"/>
      <color theme="1"/>
      <name val="Calibri"/>
      <family val="2"/>
      <scheme val="minor"/>
    </font>
    <font>
      <b/>
      <sz val="11"/>
      <color theme="1"/>
      <name val="Calibri"/>
      <family val="2"/>
      <scheme val="minor"/>
    </font>
    <font>
      <sz val="11"/>
      <color theme="1"/>
      <name val="Calibri"/>
      <family val="2"/>
      <scheme val="minor"/>
    </font>
    <font>
      <b/>
      <sz val="12"/>
      <color theme="1"/>
      <name val="Calibri"/>
      <family val="2"/>
      <scheme val="minor"/>
    </font>
    <font>
      <i/>
      <sz val="10.5"/>
      <color rgb="FF000000"/>
      <name val="Calibri"/>
      <family val="2"/>
      <scheme val="minor"/>
    </font>
    <font>
      <sz val="11"/>
      <color rgb="FF595959"/>
      <name val="Calibri"/>
      <family val="2"/>
      <scheme val="minor"/>
    </font>
    <font>
      <i/>
      <sz val="11"/>
      <color theme="1"/>
      <name val="Calibri"/>
      <family val="2"/>
      <scheme val="minor"/>
    </font>
    <font>
      <sz val="10"/>
      <name val="Arial"/>
      <family val="2"/>
    </font>
    <font>
      <sz val="11"/>
      <color rgb="FF000000"/>
      <name val="Calibri"/>
      <family val="2"/>
    </font>
  </fonts>
  <fills count="8">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92D05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3">
    <xf numFmtId="0" fontId="0" fillId="0" borderId="0"/>
    <xf numFmtId="164" fontId="2" fillId="0" borderId="0" applyFont="0" applyFill="0" applyBorder="0" applyAlignment="0" applyProtection="0"/>
    <xf numFmtId="9" fontId="2" fillId="0" borderId="0" applyFont="0" applyFill="0" applyBorder="0" applyAlignment="0" applyProtection="0"/>
  </cellStyleXfs>
  <cellXfs count="170">
    <xf numFmtId="0" fontId="0" fillId="0" borderId="0" xfId="0"/>
    <xf numFmtId="1" fontId="0" fillId="0" borderId="0" xfId="0" applyNumberFormat="1"/>
    <xf numFmtId="0" fontId="1" fillId="0" borderId="0" xfId="0" applyFont="1"/>
    <xf numFmtId="2" fontId="0" fillId="0" borderId="0" xfId="0" applyNumberFormat="1"/>
    <xf numFmtId="0" fontId="0" fillId="0" borderId="0" xfId="0" applyAlignment="1">
      <alignment horizontal="right"/>
    </xf>
    <xf numFmtId="15" fontId="0" fillId="0" borderId="0" xfId="0" applyNumberFormat="1"/>
    <xf numFmtId="0" fontId="0" fillId="0" borderId="0" xfId="0" applyAlignment="1">
      <alignment horizontal="center"/>
    </xf>
    <xf numFmtId="165" fontId="0" fillId="0" borderId="0" xfId="0" applyNumberFormat="1"/>
    <xf numFmtId="166" fontId="0" fillId="0" borderId="0" xfId="0" applyNumberFormat="1"/>
    <xf numFmtId="0" fontId="0" fillId="0" borderId="0" xfId="0" applyAlignment="1">
      <alignment horizontal="center" wrapText="1"/>
    </xf>
    <xf numFmtId="0" fontId="1" fillId="0" borderId="0" xfId="0" applyFont="1" applyAlignment="1">
      <alignment horizontal="right"/>
    </xf>
    <xf numFmtId="3" fontId="0" fillId="0" borderId="0" xfId="1" applyNumberFormat="1" applyFont="1"/>
    <xf numFmtId="2" fontId="0" fillId="0" borderId="0" xfId="0" applyNumberFormat="1" applyAlignment="1">
      <alignment horizontal="center"/>
    </xf>
    <xf numFmtId="165" fontId="0" fillId="2" borderId="0" xfId="0" applyNumberFormat="1" applyFill="1"/>
    <xf numFmtId="3" fontId="0" fillId="2" borderId="0" xfId="0" applyNumberFormat="1" applyFill="1"/>
    <xf numFmtId="1" fontId="0" fillId="2" borderId="0" xfId="0" applyNumberFormat="1" applyFill="1"/>
    <xf numFmtId="167" fontId="0" fillId="2" borderId="0" xfId="0" applyNumberFormat="1" applyFill="1"/>
    <xf numFmtId="2" fontId="0" fillId="2" borderId="0" xfId="0" applyNumberFormat="1" applyFill="1"/>
    <xf numFmtId="0" fontId="1" fillId="0" borderId="0" xfId="0" applyFont="1" applyAlignment="1">
      <alignment horizontal="left"/>
    </xf>
    <xf numFmtId="0" fontId="1" fillId="0" borderId="0" xfId="0" applyFont="1" applyAlignment="1">
      <alignment horizontal="center" wrapText="1"/>
    </xf>
    <xf numFmtId="0" fontId="0" fillId="0" borderId="0" xfId="0" applyAlignment="1">
      <alignment horizontal="left" wrapText="1"/>
    </xf>
    <xf numFmtId="1" fontId="0" fillId="2" borderId="0" xfId="0" applyNumberFormat="1" applyFill="1" applyAlignment="1">
      <alignment horizontal="center"/>
    </xf>
    <xf numFmtId="168" fontId="0" fillId="2" borderId="0" xfId="0" applyNumberFormat="1" applyFill="1"/>
    <xf numFmtId="167" fontId="0" fillId="2" borderId="1" xfId="0" applyNumberFormat="1" applyFill="1" applyBorder="1" applyAlignment="1">
      <alignment horizontal="center"/>
    </xf>
    <xf numFmtId="3" fontId="0" fillId="2" borderId="0" xfId="1" applyNumberFormat="1" applyFont="1" applyFill="1"/>
    <xf numFmtId="169" fontId="0" fillId="2" borderId="0" xfId="1" applyNumberFormat="1" applyFont="1" applyFill="1"/>
    <xf numFmtId="166" fontId="0" fillId="2" borderId="0" xfId="0" applyNumberFormat="1" applyFill="1"/>
    <xf numFmtId="0" fontId="0" fillId="2" borderId="0" xfId="0" applyFill="1"/>
    <xf numFmtId="3" fontId="0" fillId="0" borderId="1" xfId="0" applyNumberFormat="1" applyBorder="1"/>
    <xf numFmtId="1" fontId="0" fillId="2" borderId="0" xfId="0" applyNumberFormat="1" applyFill="1" applyAlignment="1">
      <alignment horizontal="right" wrapText="1"/>
    </xf>
    <xf numFmtId="9" fontId="0" fillId="0" borderId="0" xfId="2" applyFont="1" applyAlignment="1">
      <alignment horizontal="left"/>
    </xf>
    <xf numFmtId="0" fontId="3" fillId="0" borderId="0" xfId="0" applyFont="1"/>
    <xf numFmtId="1" fontId="0" fillId="2" borderId="1" xfId="0" applyNumberFormat="1" applyFill="1" applyBorder="1" applyAlignment="1">
      <alignment horizontal="center"/>
    </xf>
    <xf numFmtId="9" fontId="0" fillId="2" borderId="0" xfId="2" applyFont="1" applyFill="1" applyBorder="1"/>
    <xf numFmtId="9" fontId="0" fillId="2" borderId="0" xfId="0" applyNumberFormat="1" applyFill="1"/>
    <xf numFmtId="9" fontId="0" fillId="2" borderId="0" xfId="2" applyFont="1" applyFill="1"/>
    <xf numFmtId="167" fontId="0" fillId="0" borderId="0" xfId="0" applyNumberFormat="1"/>
    <xf numFmtId="0" fontId="0" fillId="4" borderId="0" xfId="0" applyFill="1"/>
    <xf numFmtId="0" fontId="0" fillId="0" borderId="1" xfId="0" applyBorder="1" applyAlignment="1">
      <alignment horizontal="right"/>
    </xf>
    <xf numFmtId="1" fontId="0" fillId="0" borderId="3" xfId="0" applyNumberFormat="1" applyBorder="1"/>
    <xf numFmtId="167" fontId="0" fillId="0" borderId="3" xfId="0" applyNumberFormat="1" applyBorder="1"/>
    <xf numFmtId="4" fontId="0" fillId="2" borderId="0" xfId="0" applyNumberFormat="1" applyFill="1"/>
    <xf numFmtId="0" fontId="0" fillId="0" borderId="0" xfId="0" applyAlignment="1">
      <alignment horizontal="left"/>
    </xf>
    <xf numFmtId="0" fontId="1" fillId="0" borderId="0" xfId="0" applyFont="1" applyAlignment="1">
      <alignment horizontal="center" vertical="top" wrapText="1"/>
    </xf>
    <xf numFmtId="0" fontId="0" fillId="3" borderId="0" xfId="0" applyFill="1"/>
    <xf numFmtId="3" fontId="0" fillId="3" borderId="0" xfId="0" applyNumberFormat="1" applyFill="1"/>
    <xf numFmtId="2" fontId="0" fillId="3" borderId="0" xfId="0" applyNumberFormat="1" applyFill="1"/>
    <xf numFmtId="165" fontId="0" fillId="3" borderId="0" xfId="0" applyNumberFormat="1" applyFill="1"/>
    <xf numFmtId="1" fontId="0" fillId="3" borderId="0" xfId="0" applyNumberFormat="1" applyFill="1"/>
    <xf numFmtId="165" fontId="0" fillId="2" borderId="1" xfId="0" applyNumberFormat="1" applyFill="1" applyBorder="1" applyAlignment="1">
      <alignment horizontal="center"/>
    </xf>
    <xf numFmtId="1" fontId="0" fillId="0" borderId="0" xfId="0" applyNumberFormat="1" applyAlignment="1">
      <alignment horizontal="center" wrapText="1"/>
    </xf>
    <xf numFmtId="4" fontId="0" fillId="2" borderId="0" xfId="1" applyNumberFormat="1" applyFont="1" applyFill="1"/>
    <xf numFmtId="165" fontId="0" fillId="0" borderId="0" xfId="0" applyNumberFormat="1" applyAlignment="1">
      <alignment horizontal="center" wrapText="1"/>
    </xf>
    <xf numFmtId="167" fontId="0" fillId="0" borderId="0" xfId="0" applyNumberFormat="1" applyAlignment="1">
      <alignment horizontal="center" wrapText="1"/>
    </xf>
    <xf numFmtId="167" fontId="0" fillId="2" borderId="0" xfId="0" applyNumberFormat="1" applyFill="1" applyAlignment="1">
      <alignment horizontal="right" wrapText="1"/>
    </xf>
    <xf numFmtId="1" fontId="0" fillId="0" borderId="0" xfId="2" applyNumberFormat="1" applyFont="1" applyFill="1"/>
    <xf numFmtId="0" fontId="4" fillId="0" borderId="0" xfId="0" applyFont="1" applyAlignment="1">
      <alignment vertical="center"/>
    </xf>
    <xf numFmtId="0" fontId="0" fillId="5" borderId="7" xfId="0" applyFill="1" applyBorder="1" applyAlignment="1">
      <alignment horizontal="center"/>
    </xf>
    <xf numFmtId="3" fontId="0" fillId="0" borderId="0" xfId="0" applyNumberFormat="1"/>
    <xf numFmtId="4" fontId="0" fillId="0" borderId="0" xfId="0" applyNumberFormat="1"/>
    <xf numFmtId="170" fontId="0" fillId="0" borderId="1" xfId="0" applyNumberFormat="1" applyBorder="1"/>
    <xf numFmtId="169" fontId="0" fillId="0" borderId="1" xfId="0" applyNumberFormat="1" applyBorder="1"/>
    <xf numFmtId="1" fontId="0" fillId="0" borderId="1" xfId="0" applyNumberFormat="1" applyBorder="1" applyAlignment="1">
      <alignment horizontal="right"/>
    </xf>
    <xf numFmtId="0" fontId="1" fillId="4" borderId="0" xfId="0" applyFont="1" applyFill="1" applyAlignment="1">
      <alignment horizontal="center" wrapText="1"/>
    </xf>
    <xf numFmtId="0" fontId="5" fillId="0" borderId="0" xfId="0" applyFont="1" applyAlignment="1">
      <alignment horizontal="center" vertical="center" readingOrder="1"/>
    </xf>
    <xf numFmtId="0" fontId="0" fillId="0" borderId="0" xfId="0" applyAlignment="1">
      <alignment horizontal="left" vertical="center" readingOrder="1"/>
    </xf>
    <xf numFmtId="0" fontId="0" fillId="0" borderId="3" xfId="0" applyBorder="1" applyAlignment="1">
      <alignment horizontal="left"/>
    </xf>
    <xf numFmtId="0" fontId="0" fillId="0" borderId="3" xfId="0" applyBorder="1" applyAlignment="1">
      <alignment horizontal="right"/>
    </xf>
    <xf numFmtId="3" fontId="0" fillId="0" borderId="3" xfId="0" applyNumberFormat="1" applyBorder="1"/>
    <xf numFmtId="165" fontId="0" fillId="0" borderId="3" xfId="0" applyNumberFormat="1" applyBorder="1"/>
    <xf numFmtId="2" fontId="0" fillId="0" borderId="3" xfId="0" applyNumberFormat="1" applyBorder="1" applyAlignment="1">
      <alignment horizontal="left"/>
    </xf>
    <xf numFmtId="0" fontId="1" fillId="0" borderId="0" xfId="0" applyFont="1" applyAlignment="1">
      <alignment horizontal="center"/>
    </xf>
    <xf numFmtId="2" fontId="0" fillId="0" borderId="8" xfId="0" applyNumberFormat="1" applyBorder="1"/>
    <xf numFmtId="1" fontId="0" fillId="0" borderId="0" xfId="0" applyNumberFormat="1" applyAlignment="1">
      <alignment horizontal="center"/>
    </xf>
    <xf numFmtId="2" fontId="0" fillId="0" borderId="9" xfId="0" applyNumberFormat="1" applyBorder="1"/>
    <xf numFmtId="170" fontId="0" fillId="2" borderId="0" xfId="0" applyNumberFormat="1" applyFill="1"/>
    <xf numFmtId="0" fontId="0" fillId="5" borderId="7" xfId="0" applyFill="1" applyBorder="1" applyAlignment="1" applyProtection="1">
      <alignment horizontal="center"/>
      <protection locked="0"/>
    </xf>
    <xf numFmtId="0" fontId="0" fillId="0" borderId="1" xfId="0" applyBorder="1" applyAlignment="1" applyProtection="1">
      <alignment horizontal="right"/>
      <protection locked="0"/>
    </xf>
    <xf numFmtId="3" fontId="0" fillId="0" borderId="1" xfId="0" applyNumberFormat="1" applyBorder="1" applyProtection="1">
      <protection locked="0"/>
    </xf>
    <xf numFmtId="1" fontId="0" fillId="0" borderId="1" xfId="0" applyNumberFormat="1" applyBorder="1" applyAlignment="1" applyProtection="1">
      <alignment horizontal="right"/>
      <protection locked="0"/>
    </xf>
    <xf numFmtId="1" fontId="0" fillId="0" borderId="1" xfId="0" applyNumberFormat="1" applyBorder="1" applyProtection="1">
      <protection locked="0"/>
    </xf>
    <xf numFmtId="165" fontId="0" fillId="0" borderId="1" xfId="0" applyNumberFormat="1" applyBorder="1" applyProtection="1">
      <protection locked="0"/>
    </xf>
    <xf numFmtId="2" fontId="0" fillId="0" borderId="1" xfId="0" applyNumberFormat="1" applyBorder="1" applyAlignment="1" applyProtection="1">
      <alignment horizontal="right"/>
      <protection locked="0"/>
    </xf>
    <xf numFmtId="2" fontId="0" fillId="0" borderId="1" xfId="0" applyNumberFormat="1" applyBorder="1" applyProtection="1">
      <protection locked="0"/>
    </xf>
    <xf numFmtId="1" fontId="0" fillId="2" borderId="1" xfId="0" applyNumberFormat="1" applyFill="1" applyBorder="1" applyAlignment="1" applyProtection="1">
      <alignment horizontal="center"/>
      <protection locked="0"/>
    </xf>
    <xf numFmtId="165" fontId="1" fillId="0" borderId="0" xfId="0" applyNumberFormat="1" applyFont="1"/>
    <xf numFmtId="0" fontId="1" fillId="0" borderId="2" xfId="0" applyFont="1" applyBorder="1"/>
    <xf numFmtId="0" fontId="1" fillId="0" borderId="2" xfId="0" applyFont="1" applyBorder="1" applyAlignment="1">
      <alignment horizontal="center"/>
    </xf>
    <xf numFmtId="165" fontId="1" fillId="0" borderId="2" xfId="0" applyNumberFormat="1" applyFont="1" applyBorder="1"/>
    <xf numFmtId="0" fontId="0" fillId="0" borderId="3" xfId="0" applyBorder="1"/>
    <xf numFmtId="0" fontId="0" fillId="0" borderId="4" xfId="0" applyBorder="1"/>
    <xf numFmtId="1" fontId="0" fillId="0" borderId="4" xfId="0" applyNumberFormat="1" applyBorder="1" applyAlignment="1">
      <alignment horizontal="center"/>
    </xf>
    <xf numFmtId="9" fontId="0" fillId="0" borderId="0" xfId="2" applyFont="1" applyProtection="1"/>
    <xf numFmtId="167" fontId="0" fillId="0" borderId="4" xfId="0" applyNumberFormat="1" applyBorder="1"/>
    <xf numFmtId="167" fontId="0" fillId="0" borderId="4" xfId="0" applyNumberFormat="1" applyBorder="1" applyAlignment="1">
      <alignment horizontal="center"/>
    </xf>
    <xf numFmtId="0" fontId="0" fillId="0" borderId="5" xfId="0" applyBorder="1"/>
    <xf numFmtId="0" fontId="0" fillId="0" borderId="2" xfId="0" applyBorder="1"/>
    <xf numFmtId="0" fontId="0" fillId="0" borderId="2" xfId="0" applyBorder="1" applyAlignment="1">
      <alignment horizontal="center"/>
    </xf>
    <xf numFmtId="165" fontId="0" fillId="0" borderId="2" xfId="0" applyNumberFormat="1" applyBorder="1"/>
    <xf numFmtId="0" fontId="0" fillId="0" borderId="6" xfId="0" applyBorder="1"/>
    <xf numFmtId="0" fontId="0" fillId="0" borderId="6" xfId="0" applyBorder="1" applyAlignment="1">
      <alignment horizontal="center"/>
    </xf>
    <xf numFmtId="0" fontId="0" fillId="0" borderId="4" xfId="0" applyBorder="1" applyAlignment="1">
      <alignment horizontal="center"/>
    </xf>
    <xf numFmtId="1" fontId="0" fillId="0" borderId="4" xfId="0" applyNumberFormat="1" applyBorder="1"/>
    <xf numFmtId="167" fontId="0" fillId="0" borderId="5" xfId="0" applyNumberFormat="1" applyBorder="1"/>
    <xf numFmtId="167" fontId="0" fillId="0" borderId="2" xfId="0" applyNumberFormat="1" applyBorder="1"/>
    <xf numFmtId="167" fontId="0" fillId="0" borderId="6" xfId="0" applyNumberFormat="1" applyBorder="1"/>
    <xf numFmtId="167" fontId="0" fillId="0" borderId="6" xfId="0" applyNumberFormat="1" applyBorder="1" applyAlignment="1">
      <alignment horizontal="center"/>
    </xf>
    <xf numFmtId="1" fontId="0" fillId="0" borderId="2" xfId="0" applyNumberFormat="1" applyBorder="1"/>
    <xf numFmtId="0" fontId="0" fillId="0" borderId="0" xfId="0" applyAlignment="1" applyProtection="1">
      <alignment horizontal="left" vertical="center" readingOrder="1"/>
      <protection locked="0"/>
    </xf>
    <xf numFmtId="0" fontId="0" fillId="0" borderId="0" xfId="0" applyProtection="1">
      <protection locked="0"/>
    </xf>
    <xf numFmtId="0" fontId="0" fillId="2" borderId="0" xfId="0" applyFill="1" applyAlignment="1">
      <alignment horizontal="right"/>
    </xf>
    <xf numFmtId="11" fontId="0" fillId="2" borderId="0" xfId="0" applyNumberFormat="1" applyFill="1" applyAlignment="1">
      <alignment horizontal="right"/>
    </xf>
    <xf numFmtId="2" fontId="6" fillId="0" borderId="0" xfId="2" applyNumberFormat="1" applyFont="1" applyBorder="1"/>
    <xf numFmtId="0" fontId="7" fillId="2" borderId="0" xfId="0" applyFont="1" applyFill="1"/>
    <xf numFmtId="0" fontId="0" fillId="0" borderId="1" xfId="0" applyBorder="1"/>
    <xf numFmtId="169" fontId="0" fillId="2" borderId="0" xfId="0" applyNumberFormat="1" applyFill="1"/>
    <xf numFmtId="9" fontId="0" fillId="0" borderId="0" xfId="2" applyFont="1"/>
    <xf numFmtId="9" fontId="0" fillId="0" borderId="0" xfId="0" applyNumberFormat="1"/>
    <xf numFmtId="1" fontId="0" fillId="0" borderId="1" xfId="0" applyNumberFormat="1" applyBorder="1"/>
    <xf numFmtId="1" fontId="0" fillId="6" borderId="0" xfId="0" applyNumberFormat="1" applyFill="1" applyAlignment="1">
      <alignment horizontal="center" wrapText="1"/>
    </xf>
    <xf numFmtId="165" fontId="0" fillId="6" borderId="0" xfId="0" applyNumberFormat="1" applyFill="1" applyAlignment="1">
      <alignment horizontal="center" wrapText="1"/>
    </xf>
    <xf numFmtId="168" fontId="0" fillId="3" borderId="0" xfId="0" applyNumberFormat="1" applyFill="1"/>
    <xf numFmtId="10" fontId="0" fillId="0" borderId="0" xfId="2" applyNumberFormat="1" applyFont="1" applyAlignment="1">
      <alignment horizontal="center" wrapText="1"/>
    </xf>
    <xf numFmtId="171" fontId="0" fillId="0" borderId="0" xfId="0" applyNumberFormat="1" applyAlignment="1">
      <alignment horizontal="left"/>
    </xf>
    <xf numFmtId="1" fontId="0" fillId="2" borderId="1" xfId="0" applyNumberFormat="1" applyFill="1" applyBorder="1"/>
    <xf numFmtId="2" fontId="0" fillId="2" borderId="0" xfId="2" applyNumberFormat="1" applyFont="1" applyFill="1" applyAlignment="1">
      <alignment horizontal="right" wrapText="1"/>
    </xf>
    <xf numFmtId="170" fontId="0" fillId="0" borderId="0" xfId="0" applyNumberFormat="1" applyAlignment="1">
      <alignment horizontal="center" wrapText="1"/>
    </xf>
    <xf numFmtId="2" fontId="0" fillId="0" borderId="0" xfId="0" applyNumberFormat="1" applyAlignment="1">
      <alignment horizontal="center" wrapText="1"/>
    </xf>
    <xf numFmtId="0" fontId="0" fillId="0" borderId="10" xfId="0" applyBorder="1"/>
    <xf numFmtId="0" fontId="0" fillId="0" borderId="9" xfId="0" applyBorder="1"/>
    <xf numFmtId="1" fontId="0" fillId="0" borderId="9" xfId="0" applyNumberFormat="1" applyBorder="1"/>
    <xf numFmtId="1" fontId="0" fillId="0" borderId="11" xfId="0" applyNumberFormat="1" applyBorder="1"/>
    <xf numFmtId="1" fontId="0" fillId="0" borderId="6" xfId="0" applyNumberFormat="1" applyBorder="1"/>
    <xf numFmtId="172" fontId="0" fillId="0" borderId="0" xfId="0" applyNumberFormat="1"/>
    <xf numFmtId="0" fontId="0" fillId="5" borderId="1" xfId="0" applyFill="1" applyBorder="1"/>
    <xf numFmtId="1" fontId="0" fillId="4" borderId="0" xfId="0" applyNumberFormat="1" applyFill="1"/>
    <xf numFmtId="2" fontId="0" fillId="4" borderId="0" xfId="0" applyNumberFormat="1" applyFill="1"/>
    <xf numFmtId="1" fontId="0" fillId="0" borderId="10" xfId="0" applyNumberFormat="1" applyBorder="1"/>
    <xf numFmtId="1" fontId="0" fillId="0" borderId="5" xfId="0" applyNumberFormat="1" applyBorder="1"/>
    <xf numFmtId="0" fontId="1" fillId="4" borderId="0" xfId="0" applyFont="1" applyFill="1" applyAlignment="1">
      <alignment horizontal="center" vertical="top" wrapText="1"/>
    </xf>
    <xf numFmtId="167" fontId="0" fillId="4" borderId="0" xfId="0" applyNumberFormat="1" applyFill="1" applyAlignment="1">
      <alignment horizontal="center" wrapText="1"/>
    </xf>
    <xf numFmtId="166" fontId="0" fillId="4" borderId="0" xfId="0" applyNumberFormat="1" applyFill="1"/>
    <xf numFmtId="9" fontId="0" fillId="4" borderId="0" xfId="2" applyFont="1" applyFill="1"/>
    <xf numFmtId="1" fontId="0" fillId="7" borderId="0" xfId="0" applyNumberFormat="1" applyFill="1"/>
    <xf numFmtId="2" fontId="0" fillId="7" borderId="0" xfId="0" applyNumberFormat="1" applyFill="1"/>
    <xf numFmtId="0" fontId="0" fillId="4" borderId="0" xfId="0" applyFill="1" applyAlignment="1">
      <alignment horizontal="left"/>
    </xf>
    <xf numFmtId="0" fontId="0" fillId="4" borderId="0" xfId="0" applyFill="1" applyAlignment="1">
      <alignment horizontal="right"/>
    </xf>
    <xf numFmtId="0" fontId="0" fillId="4" borderId="4" xfId="0" applyFill="1" applyBorder="1"/>
    <xf numFmtId="167" fontId="0" fillId="4" borderId="0" xfId="0" applyNumberFormat="1" applyFill="1"/>
    <xf numFmtId="167" fontId="0" fillId="4" borderId="4" xfId="0" applyNumberFormat="1" applyFill="1" applyBorder="1"/>
    <xf numFmtId="0" fontId="0" fillId="4" borderId="3" xfId="0" applyFill="1" applyBorder="1"/>
    <xf numFmtId="0" fontId="0" fillId="4" borderId="0" xfId="0" applyFill="1" applyAlignment="1">
      <alignment horizontal="center"/>
    </xf>
    <xf numFmtId="165" fontId="0" fillId="4" borderId="0" xfId="0" applyNumberFormat="1" applyFill="1"/>
    <xf numFmtId="1" fontId="0" fillId="4" borderId="4" xfId="0" applyNumberFormat="1" applyFill="1" applyBorder="1" applyAlignment="1">
      <alignment horizontal="center"/>
    </xf>
    <xf numFmtId="167" fontId="0" fillId="4" borderId="4" xfId="0" applyNumberFormat="1" applyFill="1" applyBorder="1" applyAlignment="1">
      <alignment horizontal="center"/>
    </xf>
    <xf numFmtId="1" fontId="0" fillId="4" borderId="3" xfId="0" applyNumberFormat="1" applyFill="1" applyBorder="1"/>
    <xf numFmtId="0" fontId="0" fillId="4" borderId="5" xfId="0" applyFill="1" applyBorder="1"/>
    <xf numFmtId="0" fontId="0" fillId="4" borderId="2" xfId="0" applyFill="1" applyBorder="1"/>
    <xf numFmtId="0" fontId="0" fillId="4" borderId="2" xfId="0" applyFill="1" applyBorder="1" applyAlignment="1">
      <alignment horizontal="center"/>
    </xf>
    <xf numFmtId="165" fontId="0" fillId="4" borderId="2" xfId="0" applyNumberFormat="1" applyFill="1" applyBorder="1"/>
    <xf numFmtId="167" fontId="0" fillId="4" borderId="3" xfId="0" applyNumberFormat="1" applyFill="1" applyBorder="1"/>
    <xf numFmtId="4" fontId="0" fillId="0" borderId="1" xfId="0" applyNumberFormat="1" applyBorder="1"/>
    <xf numFmtId="2" fontId="0" fillId="4" borderId="0" xfId="0" applyNumberFormat="1" applyFill="1" applyAlignment="1">
      <alignment horizontal="center" wrapText="1"/>
    </xf>
    <xf numFmtId="1" fontId="0" fillId="4" borderId="4" xfId="0" applyNumberFormat="1" applyFill="1" applyBorder="1"/>
    <xf numFmtId="167" fontId="0" fillId="4" borderId="5" xfId="0" applyNumberFormat="1" applyFill="1" applyBorder="1"/>
    <xf numFmtId="167" fontId="0" fillId="4" borderId="2" xfId="0" applyNumberFormat="1" applyFill="1" applyBorder="1"/>
    <xf numFmtId="167" fontId="0" fillId="4" borderId="6" xfId="0" applyNumberFormat="1" applyFill="1" applyBorder="1"/>
    <xf numFmtId="167" fontId="0" fillId="4" borderId="6" xfId="0" applyNumberFormat="1" applyFill="1" applyBorder="1" applyAlignment="1">
      <alignment horizontal="center"/>
    </xf>
    <xf numFmtId="0" fontId="1" fillId="0" borderId="0" xfId="0" applyFont="1" applyAlignment="1">
      <alignment horizontal="center"/>
    </xf>
    <xf numFmtId="3" fontId="0" fillId="0" borderId="0" xfId="0" applyNumberFormat="1" applyFill="1" applyBorder="1"/>
  </cellXfs>
  <cellStyles count="3">
    <cellStyle name="Comma" xfId="1" builtinId="3"/>
    <cellStyle name="Normal" xfId="0" builtinId="0"/>
    <cellStyle name="Percent" xfId="2" builtinId="5"/>
  </cellStyles>
  <dxfs count="8">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Analysis!$C$101</c:f>
          <c:strCache>
            <c:ptCount val="1"/>
            <c:pt idx="0">
              <c:v>Pulley Lagging Analysis: CV3035, Seconday Drive, Dry Clean_x000d_Elastotec Medium Double Row 42% Dimpled Ceramic, 12mm (1/2")mm, 65 Duro</c:v>
            </c:pt>
          </c:strCache>
        </c:strRef>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665292316799873E-2"/>
          <c:y val="0.12212644645313066"/>
          <c:w val="0.83655404132351663"/>
          <c:h val="0.6915229630276376"/>
        </c:manualLayout>
      </c:layout>
      <c:areaChart>
        <c:grouping val="stacked"/>
        <c:varyColors val="0"/>
        <c:ser>
          <c:idx val="5"/>
          <c:order val="5"/>
          <c:tx>
            <c:strRef>
              <c:f>Analysis!$C$201</c:f>
              <c:strCache>
                <c:ptCount val="1"/>
                <c:pt idx="0">
                  <c:v>Slip Zone</c:v>
                </c:pt>
              </c:strCache>
            </c:strRef>
          </c:tx>
          <c:spPr>
            <a:solidFill>
              <a:srgbClr val="FF0000">
                <a:alpha val="20000"/>
              </a:srgbClr>
            </a:solidFill>
            <a:ln>
              <a:noFill/>
            </a:ln>
            <a:effectLst/>
          </c:spPr>
          <c:cat>
            <c:numRef>
              <c:f>Analysis!$C$202:$C$381</c:f>
              <c:numCache>
                <c:formatCode>General</c:formatCode>
                <c:ptCount val="18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numCache>
            </c:numRef>
          </c:cat>
          <c:val>
            <c:numRef>
              <c:f>Analysis!$D$202:$D$381</c:f>
              <c:numCache>
                <c:formatCode>0.00</c:formatCode>
                <c:ptCount val="1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0.84052598023189851</c:v>
                </c:pt>
                <c:pt idx="87">
                  <c:v>0.84052598023189851</c:v>
                </c:pt>
                <c:pt idx="88">
                  <c:v>0.85062471126662254</c:v>
                </c:pt>
                <c:pt idx="89">
                  <c:v>0.85062471126662254</c:v>
                </c:pt>
                <c:pt idx="90">
                  <c:v>0.86048513907577351</c:v>
                </c:pt>
                <c:pt idx="91">
                  <c:v>0.86048513907577351</c:v>
                </c:pt>
                <c:pt idx="92">
                  <c:v>0.87010276038056622</c:v>
                </c:pt>
                <c:pt idx="93">
                  <c:v>0.87010276038056622</c:v>
                </c:pt>
                <c:pt idx="94">
                  <c:v>0.87947358746020576</c:v>
                </c:pt>
                <c:pt idx="95">
                  <c:v>0.87947358746020576</c:v>
                </c:pt>
                <c:pt idx="96">
                  <c:v>0.88859414104499745</c:v>
                </c:pt>
                <c:pt idx="97">
                  <c:v>0.88859414104499745</c:v>
                </c:pt>
                <c:pt idx="98">
                  <c:v>0.89746144107055936</c:v>
                </c:pt>
                <c:pt idx="99">
                  <c:v>0.89746144107055936</c:v>
                </c:pt>
                <c:pt idx="100">
                  <c:v>0.90607299548470466</c:v>
                </c:pt>
                <c:pt idx="101">
                  <c:v>0.90607299548470466</c:v>
                </c:pt>
                <c:pt idx="102">
                  <c:v>0.91442678730494376</c:v>
                </c:pt>
                <c:pt idx="103">
                  <c:v>0.91442678730494376</c:v>
                </c:pt>
                <c:pt idx="104">
                  <c:v>0.9225212601278584</c:v>
                </c:pt>
                <c:pt idx="105">
                  <c:v>0.9225212601278584</c:v>
                </c:pt>
                <c:pt idx="106">
                  <c:v>0.93035530229199426</c:v>
                </c:pt>
                <c:pt idx="107">
                  <c:v>0.93035530229199426</c:v>
                </c:pt>
                <c:pt idx="108">
                  <c:v>0.93792822989361058</c:v>
                </c:pt>
                <c:pt idx="109">
                  <c:v>0.93792822989361058</c:v>
                </c:pt>
                <c:pt idx="110">
                  <c:v>0.94523976884984484</c:v>
                </c:pt>
                <c:pt idx="111">
                  <c:v>0.94523976884984484</c:v>
                </c:pt>
                <c:pt idx="112">
                  <c:v>0.95229003619692332</c:v>
                </c:pt>
                <c:pt idx="113">
                  <c:v>0.95229003619692332</c:v>
                </c:pt>
                <c:pt idx="114">
                  <c:v>0.95907952080219339</c:v>
                </c:pt>
                <c:pt idx="115">
                  <c:v>0.95907952080219339</c:v>
                </c:pt>
                <c:pt idx="116">
                  <c:v>0.96560906365836863</c:v>
                </c:pt>
                <c:pt idx="117">
                  <c:v>0.96560906365836863</c:v>
                </c:pt>
                <c:pt idx="118">
                  <c:v>0.9718798379167195</c:v>
                </c:pt>
                <c:pt idx="119">
                  <c:v>0.9718798379167195</c:v>
                </c:pt>
                <c:pt idx="120">
                  <c:v>0.97789332880336322</c:v>
                </c:pt>
                <c:pt idx="121">
                  <c:v>0.97789332880336322</c:v>
                </c:pt>
                <c:pt idx="122">
                  <c:v>0.98365131354959168</c:v>
                </c:pt>
                <c:pt idx="123">
                  <c:v>0.98365131354959168</c:v>
                </c:pt>
                <c:pt idx="124">
                  <c:v>0.98915584145366187</c:v>
                </c:pt>
                <c:pt idx="125">
                  <c:v>0.98915584145366187</c:v>
                </c:pt>
                <c:pt idx="126">
                  <c:v>0.99440921417788164</c:v>
                </c:pt>
                <c:pt idx="127">
                  <c:v>0.99440921417788164</c:v>
                </c:pt>
                <c:pt idx="128">
                  <c:v>0.99941396637145541</c:v>
                </c:pt>
                <c:pt idx="129">
                  <c:v>0.99941396637145541</c:v>
                </c:pt>
                <c:pt idx="130">
                  <c:v>1.0041728466966038</c:v>
                </c:pt>
                <c:pt idx="131">
                  <c:v>1.0041728466966038</c:v>
                </c:pt>
                <c:pt idx="132">
                  <c:v>1.0086887993231373</c:v>
                </c:pt>
                <c:pt idx="133">
                  <c:v>1.0086887993231373</c:v>
                </c:pt>
                <c:pt idx="134">
                  <c:v>1.0129649459451089</c:v>
                </c:pt>
                <c:pt idx="135">
                  <c:v>1.0129649459451089</c:v>
                </c:pt>
                <c:pt idx="136">
                  <c:v>1.0170045683624895</c:v>
                </c:pt>
                <c:pt idx="137">
                  <c:v>1.0170045683624895</c:v>
                </c:pt>
                <c:pt idx="138">
                  <c:v>1.0208110916611342</c:v>
                </c:pt>
                <c:pt idx="139">
                  <c:v>1.0208110916611342</c:v>
                </c:pt>
                <c:pt idx="140">
                  <c:v>1.0243880680156414</c:v>
                </c:pt>
                <c:pt idx="141">
                  <c:v>1.0243880680156414</c:v>
                </c:pt>
                <c:pt idx="142">
                  <c:v>1.0277391611320941</c:v>
                </c:pt>
                <c:pt idx="143">
                  <c:v>1.0277391611320941</c:v>
                </c:pt>
                <c:pt idx="144">
                  <c:v>1.030868131341097</c:v>
                </c:pt>
                <c:pt idx="145">
                  <c:v>1.030868131341097</c:v>
                </c:pt>
                <c:pt idx="146">
                  <c:v>1.0337788213459533</c:v>
                </c:pt>
                <c:pt idx="147">
                  <c:v>1.0337788213459533</c:v>
                </c:pt>
                <c:pt idx="148">
                  <c:v>1.0364751426261867</c:v>
                </c:pt>
                <c:pt idx="149">
                  <c:v>1.0364751426261867</c:v>
                </c:pt>
                <c:pt idx="150">
                  <c:v>1.0389610624928545</c:v>
                </c:pt>
                <c:pt idx="151">
                  <c:v>1.0389610624928545</c:v>
                </c:pt>
                <c:pt idx="152">
                  <c:v>1.0412405917890941</c:v>
                </c:pt>
                <c:pt idx="153">
                  <c:v>1.0412405917890941</c:v>
                </c:pt>
                <c:pt idx="154">
                  <c:v>1.043317773227046</c:v>
                </c:pt>
                <c:pt idx="155">
                  <c:v>1.043317773227046</c:v>
                </c:pt>
                <c:pt idx="156">
                  <c:v>1.0451966703505424</c:v>
                </c:pt>
                <c:pt idx="157">
                  <c:v>1.0451966703505424</c:v>
                </c:pt>
                <c:pt idx="158">
                  <c:v>1.0468813571117059</c:v>
                </c:pt>
                <c:pt idx="159">
                  <c:v>1.0468813571117059</c:v>
                </c:pt>
                <c:pt idx="160">
                  <c:v>1.0483759080487032</c:v>
                </c:pt>
                <c:pt idx="161">
                  <c:v>1.0483759080487032</c:v>
                </c:pt>
                <c:pt idx="162">
                  <c:v>1.049684389051299</c:v>
                </c:pt>
                <c:pt idx="163">
                  <c:v>1.049684389051299</c:v>
                </c:pt>
                <c:pt idx="164">
                  <c:v>1.0508108487004726</c:v>
                </c:pt>
                <c:pt idx="165">
                  <c:v>1.0508108487004726</c:v>
                </c:pt>
                <c:pt idx="166">
                  <c:v>1.0517593101680751</c:v>
                </c:pt>
                <c:pt idx="167">
                  <c:v>1.0517593101680751</c:v>
                </c:pt>
                <c:pt idx="168">
                  <c:v>1.052533763662328</c:v>
                </c:pt>
                <c:pt idx="169">
                  <c:v>1.052533763662328</c:v>
                </c:pt>
                <c:pt idx="170">
                  <c:v>1.0531381594047928</c:v>
                </c:pt>
                <c:pt idx="171">
                  <c:v>1.0531381594047928</c:v>
                </c:pt>
                <c:pt idx="172">
                  <c:v>1.0535764011242612</c:v>
                </c:pt>
                <c:pt idx="173">
                  <c:v>1.0535764011242612</c:v>
                </c:pt>
                <c:pt idx="174">
                  <c:v>1.0538523400528068</c:v>
                </c:pt>
                <c:pt idx="175">
                  <c:v>1.0538523400528068</c:v>
                </c:pt>
                <c:pt idx="176">
                  <c:v>1.0539697694089825</c:v>
                </c:pt>
                <c:pt idx="177">
                  <c:v>1.0540757637473395</c:v>
                </c:pt>
                <c:pt idx="178">
                  <c:v>1.0540757637473395</c:v>
                </c:pt>
                <c:pt idx="179">
                  <c:v>1.0540757637473395</c:v>
                </c:pt>
              </c:numCache>
            </c:numRef>
          </c:val>
          <c:extLst>
            <c:ext xmlns:c16="http://schemas.microsoft.com/office/drawing/2014/chart" uri="{C3380CC4-5D6E-409C-BE32-E72D297353CC}">
              <c16:uniqueId val="{00000000-2D53-4DF9-B9B8-BEE0814AE56B}"/>
            </c:ext>
          </c:extLst>
        </c:ser>
        <c:dLbls>
          <c:showLegendKey val="0"/>
          <c:showVal val="0"/>
          <c:showCatName val="0"/>
          <c:showSerName val="0"/>
          <c:showPercent val="0"/>
          <c:showBubbleSize val="0"/>
        </c:dLbls>
        <c:axId val="642188632"/>
        <c:axId val="642193552"/>
      </c:areaChart>
      <c:scatterChart>
        <c:scatterStyle val="lineMarker"/>
        <c:varyColors val="0"/>
        <c:ser>
          <c:idx val="0"/>
          <c:order val="0"/>
          <c:tx>
            <c:strRef>
              <c:f>Analysis!$H$105</c:f>
              <c:strCache>
                <c:ptCount val="1"/>
                <c:pt idx="0">
                  <c:v>Shear Stress (kPa)</c:v>
                </c:pt>
              </c:strCache>
            </c:strRef>
          </c:tx>
          <c:spPr>
            <a:ln w="19050" cap="rnd">
              <a:solidFill>
                <a:schemeClr val="accent1"/>
              </a:solidFill>
              <a:round/>
            </a:ln>
            <a:effectLst/>
          </c:spPr>
          <c:marker>
            <c:symbol val="none"/>
          </c:marker>
          <c:xVal>
            <c:numRef>
              <c:f>Analysis!$C$106:$C$196</c:f>
              <c:numCache>
                <c:formatCode>0</c:formatCode>
                <c:ptCount val="91"/>
                <c:pt idx="0">
                  <c:v>0</c:v>
                </c:pt>
                <c:pt idx="1">
                  <c:v>1.9888888888888889</c:v>
                </c:pt>
                <c:pt idx="2">
                  <c:v>3.9777777777777779</c:v>
                </c:pt>
                <c:pt idx="3">
                  <c:v>5.9666666666666668</c:v>
                </c:pt>
                <c:pt idx="4">
                  <c:v>7.9555555555555557</c:v>
                </c:pt>
                <c:pt idx="5">
                  <c:v>9.9444444444444446</c:v>
                </c:pt>
                <c:pt idx="6">
                  <c:v>11.933333333333334</c:v>
                </c:pt>
                <c:pt idx="7">
                  <c:v>13.922222222222222</c:v>
                </c:pt>
                <c:pt idx="8">
                  <c:v>15.911111111111111</c:v>
                </c:pt>
                <c:pt idx="9">
                  <c:v>17.899999999999999</c:v>
                </c:pt>
                <c:pt idx="10">
                  <c:v>19.888888888888886</c:v>
                </c:pt>
                <c:pt idx="11">
                  <c:v>21.877777777777773</c:v>
                </c:pt>
                <c:pt idx="12">
                  <c:v>23.86666666666666</c:v>
                </c:pt>
                <c:pt idx="13">
                  <c:v>25.855555555555547</c:v>
                </c:pt>
                <c:pt idx="14">
                  <c:v>27.844444444444434</c:v>
                </c:pt>
                <c:pt idx="15">
                  <c:v>29.833333333333321</c:v>
                </c:pt>
                <c:pt idx="16">
                  <c:v>31.822222222222209</c:v>
                </c:pt>
                <c:pt idx="17">
                  <c:v>33.811111111111096</c:v>
                </c:pt>
                <c:pt idx="18">
                  <c:v>35.799999999999983</c:v>
                </c:pt>
                <c:pt idx="19">
                  <c:v>37.78888888888887</c:v>
                </c:pt>
                <c:pt idx="20">
                  <c:v>39.777777777777757</c:v>
                </c:pt>
                <c:pt idx="21">
                  <c:v>41.766666666666644</c:v>
                </c:pt>
                <c:pt idx="22">
                  <c:v>43.755555555555532</c:v>
                </c:pt>
                <c:pt idx="23">
                  <c:v>45.744444444444419</c:v>
                </c:pt>
                <c:pt idx="24">
                  <c:v>47.733333333333306</c:v>
                </c:pt>
                <c:pt idx="25">
                  <c:v>49.722222222222193</c:v>
                </c:pt>
                <c:pt idx="26">
                  <c:v>51.71111111111108</c:v>
                </c:pt>
                <c:pt idx="27">
                  <c:v>53.699999999999967</c:v>
                </c:pt>
                <c:pt idx="28">
                  <c:v>55.688888888888854</c:v>
                </c:pt>
                <c:pt idx="29">
                  <c:v>57.677777777777742</c:v>
                </c:pt>
                <c:pt idx="30">
                  <c:v>59.666666666666629</c:v>
                </c:pt>
                <c:pt idx="31">
                  <c:v>61.655555555555516</c:v>
                </c:pt>
                <c:pt idx="32">
                  <c:v>63.644444444444403</c:v>
                </c:pt>
                <c:pt idx="33">
                  <c:v>65.633333333333297</c:v>
                </c:pt>
                <c:pt idx="34">
                  <c:v>67.622222222222192</c:v>
                </c:pt>
                <c:pt idx="35">
                  <c:v>69.611111111111086</c:v>
                </c:pt>
                <c:pt idx="36">
                  <c:v>71.59999999999998</c:v>
                </c:pt>
                <c:pt idx="37">
                  <c:v>73.588888888888874</c:v>
                </c:pt>
                <c:pt idx="38">
                  <c:v>75.577777777777769</c:v>
                </c:pt>
                <c:pt idx="39">
                  <c:v>77.566666666666663</c:v>
                </c:pt>
                <c:pt idx="40">
                  <c:v>79.555555555555557</c:v>
                </c:pt>
                <c:pt idx="41">
                  <c:v>81.544444444444451</c:v>
                </c:pt>
                <c:pt idx="42">
                  <c:v>83.533333333333346</c:v>
                </c:pt>
                <c:pt idx="43">
                  <c:v>85.52222222222224</c:v>
                </c:pt>
                <c:pt idx="44">
                  <c:v>87.511111111111134</c:v>
                </c:pt>
                <c:pt idx="45">
                  <c:v>89.500000000000028</c:v>
                </c:pt>
                <c:pt idx="46">
                  <c:v>91.488888888888923</c:v>
                </c:pt>
                <c:pt idx="47">
                  <c:v>93.477777777777817</c:v>
                </c:pt>
                <c:pt idx="48">
                  <c:v>95.466666666666711</c:v>
                </c:pt>
                <c:pt idx="49">
                  <c:v>97.455555555555605</c:v>
                </c:pt>
                <c:pt idx="50">
                  <c:v>99.4444444444445</c:v>
                </c:pt>
                <c:pt idx="51">
                  <c:v>101.43333333333339</c:v>
                </c:pt>
                <c:pt idx="52">
                  <c:v>103.42222222222229</c:v>
                </c:pt>
                <c:pt idx="53">
                  <c:v>105.41111111111118</c:v>
                </c:pt>
                <c:pt idx="54">
                  <c:v>107.40000000000008</c:v>
                </c:pt>
                <c:pt idx="55">
                  <c:v>109.38888888888897</c:v>
                </c:pt>
                <c:pt idx="56">
                  <c:v>111.37777777777787</c:v>
                </c:pt>
                <c:pt idx="57">
                  <c:v>113.36666666666676</c:v>
                </c:pt>
                <c:pt idx="58">
                  <c:v>115.35555555555565</c:v>
                </c:pt>
                <c:pt idx="59">
                  <c:v>117.34444444444455</c:v>
                </c:pt>
                <c:pt idx="60">
                  <c:v>119.33333333333344</c:v>
                </c:pt>
                <c:pt idx="61">
                  <c:v>121.32222222222234</c:v>
                </c:pt>
                <c:pt idx="62">
                  <c:v>123.31111111111123</c:v>
                </c:pt>
                <c:pt idx="63">
                  <c:v>125.30000000000013</c:v>
                </c:pt>
                <c:pt idx="64">
                  <c:v>127.28888888888902</c:v>
                </c:pt>
                <c:pt idx="65">
                  <c:v>129.27777777777791</c:v>
                </c:pt>
                <c:pt idx="66">
                  <c:v>131.26666666666679</c:v>
                </c:pt>
                <c:pt idx="67">
                  <c:v>133.25555555555567</c:v>
                </c:pt>
                <c:pt idx="68">
                  <c:v>135.24444444444455</c:v>
                </c:pt>
                <c:pt idx="69">
                  <c:v>137.23333333333343</c:v>
                </c:pt>
                <c:pt idx="70">
                  <c:v>139.22222222222231</c:v>
                </c:pt>
                <c:pt idx="71">
                  <c:v>141.21111111111119</c:v>
                </c:pt>
                <c:pt idx="72">
                  <c:v>143.20000000000007</c:v>
                </c:pt>
                <c:pt idx="73">
                  <c:v>145.18888888888895</c:v>
                </c:pt>
                <c:pt idx="74">
                  <c:v>147.17777777777783</c:v>
                </c:pt>
                <c:pt idx="75">
                  <c:v>149.16666666666671</c:v>
                </c:pt>
                <c:pt idx="76">
                  <c:v>151.15555555555559</c:v>
                </c:pt>
                <c:pt idx="77">
                  <c:v>153.14444444444447</c:v>
                </c:pt>
                <c:pt idx="78">
                  <c:v>155.13333333333335</c:v>
                </c:pt>
                <c:pt idx="79">
                  <c:v>157.12222222222223</c:v>
                </c:pt>
                <c:pt idx="80">
                  <c:v>159.11111111111111</c:v>
                </c:pt>
                <c:pt idx="81">
                  <c:v>161.1</c:v>
                </c:pt>
                <c:pt idx="82">
                  <c:v>163.08888888888887</c:v>
                </c:pt>
                <c:pt idx="83">
                  <c:v>165.07777777777775</c:v>
                </c:pt>
                <c:pt idx="84">
                  <c:v>167.06666666666663</c:v>
                </c:pt>
                <c:pt idx="85">
                  <c:v>169.05555555555551</c:v>
                </c:pt>
                <c:pt idx="86">
                  <c:v>171.04444444444439</c:v>
                </c:pt>
                <c:pt idx="87">
                  <c:v>173.03333333333327</c:v>
                </c:pt>
                <c:pt idx="88">
                  <c:v>175.02222222222215</c:v>
                </c:pt>
                <c:pt idx="89">
                  <c:v>177.01111111111103</c:v>
                </c:pt>
                <c:pt idx="90">
                  <c:v>178.99999999999991</c:v>
                </c:pt>
              </c:numCache>
            </c:numRef>
          </c:xVal>
          <c:yVal>
            <c:numRef>
              <c:f>Analysis!$AZ$106:$AZ$196</c:f>
              <c:numCache>
                <c:formatCode>0</c:formatCode>
                <c:ptCount val="91"/>
                <c:pt idx="0">
                  <c:v>96.03884682817359</c:v>
                </c:pt>
                <c:pt idx="1">
                  <c:v>100.38842389601227</c:v>
                </c:pt>
                <c:pt idx="2">
                  <c:v>104.76406732322202</c:v>
                </c:pt>
                <c:pt idx="3">
                  <c:v>109.16621292267631</c:v>
                </c:pt>
                <c:pt idx="4">
                  <c:v>113.59530379376136</c:v>
                </c:pt>
                <c:pt idx="5">
                  <c:v>118.05179044420207</c:v>
                </c:pt>
                <c:pt idx="6">
                  <c:v>122.53613091392458</c:v>
                </c:pt>
                <c:pt idx="7">
                  <c:v>127.04879090098999</c:v>
                </c:pt>
                <c:pt idx="8">
                  <c:v>131.59024388963337</c:v>
                </c:pt>
                <c:pt idx="9">
                  <c:v>136.16097128044368</c:v>
                </c:pt>
                <c:pt idx="10">
                  <c:v>140.76146252272019</c:v>
                </c:pt>
                <c:pt idx="11">
                  <c:v>145.39221524904161</c:v>
                </c:pt>
                <c:pt idx="12">
                  <c:v>150.05373541208553</c:v>
                </c:pt>
                <c:pt idx="13">
                  <c:v>154.74653742373491</c:v>
                </c:pt>
                <c:pt idx="14">
                  <c:v>159.47114429651074</c:v>
                </c:pt>
                <c:pt idx="15">
                  <c:v>164.22808778736925</c:v>
                </c:pt>
                <c:pt idx="16">
                  <c:v>169.01790854390316</c:v>
                </c:pt>
                <c:pt idx="17">
                  <c:v>173.84115625298742</c:v>
                </c:pt>
                <c:pt idx="18">
                  <c:v>178.69838979191044</c:v>
                </c:pt>
                <c:pt idx="19">
                  <c:v>183.5901773820317</c:v>
                </c:pt>
                <c:pt idx="20">
                  <c:v>188.51709674500879</c:v>
                </c:pt>
                <c:pt idx="21">
                  <c:v>193.47973526163622</c:v>
                </c:pt>
                <c:pt idx="22">
                  <c:v>198.47869013334017</c:v>
                </c:pt>
                <c:pt idx="23">
                  <c:v>203.51456854637297</c:v>
                </c:pt>
                <c:pt idx="24">
                  <c:v>208.58798783875324</c:v>
                </c:pt>
                <c:pt idx="25">
                  <c:v>213.69957566999665</c:v>
                </c:pt>
                <c:pt idx="26">
                  <c:v>218.84997019368518</c:v>
                </c:pt>
                <c:pt idx="27">
                  <c:v>224.0398202329207</c:v>
                </c:pt>
                <c:pt idx="28">
                  <c:v>229.2697854587129</c:v>
                </c:pt>
                <c:pt idx="29">
                  <c:v>234.54053657134926</c:v>
                </c:pt>
                <c:pt idx="30">
                  <c:v>239.85275548479746</c:v>
                </c:pt>
                <c:pt idx="31">
                  <c:v>245.20713551419107</c:v>
                </c:pt>
                <c:pt idx="32">
                  <c:v>250.60438156644966</c:v>
                </c:pt>
                <c:pt idx="33">
                  <c:v>256.04521033408605</c:v>
                </c:pt>
                <c:pt idx="34">
                  <c:v>261.53035049225406</c:v>
                </c:pt>
                <c:pt idx="35">
                  <c:v>267.06054289909036</c:v>
                </c:pt>
                <c:pt idx="36">
                  <c:v>272.63654079940642</c:v>
                </c:pt>
                <c:pt idx="37">
                  <c:v>278.25911003178555</c:v>
                </c:pt>
                <c:pt idx="38">
                  <c:v>283.92902923914284</c:v>
                </c:pt>
                <c:pt idx="39">
                  <c:v>289.64709008280556</c:v>
                </c:pt>
                <c:pt idx="40">
                  <c:v>295.4140974601724</c:v>
                </c:pt>
                <c:pt idx="41">
                  <c:v>301.2308697260122</c:v>
                </c:pt>
                <c:pt idx="42">
                  <c:v>307.09823891746282</c:v>
                </c:pt>
                <c:pt idx="43">
                  <c:v>313.01705098279126</c:v>
                </c:pt>
                <c:pt idx="44">
                  <c:v>315.96772207340223</c:v>
                </c:pt>
                <c:pt idx="45">
                  <c:v>314.14272608347625</c:v>
                </c:pt>
                <c:pt idx="46">
                  <c:v>312.23568877720777</c:v>
                </c:pt>
                <c:pt idx="47">
                  <c:v>310.25683165300541</c:v>
                </c:pt>
                <c:pt idx="48">
                  <c:v>308.21623287922796</c:v>
                </c:pt>
                <c:pt idx="49">
                  <c:v>306.12378336098516</c:v>
                </c:pt>
                <c:pt idx="50">
                  <c:v>303.98914638071727</c:v>
                </c:pt>
                <c:pt idx="51">
                  <c:v>301.8217209693849</c:v>
                </c:pt>
                <c:pt idx="52">
                  <c:v>299.63060911048643</c:v>
                </c:pt>
                <c:pt idx="53">
                  <c:v>297.42458682718927</c:v>
                </c:pt>
                <c:pt idx="54">
                  <c:v>295.21207915430807</c:v>
                </c:pt>
                <c:pt idx="55">
                  <c:v>293.00113895224081</c:v>
                </c:pt>
                <c:pt idx="56">
                  <c:v>290.79942947969892</c:v>
                </c:pt>
                <c:pt idx="57">
                  <c:v>288.61421060644273</c:v>
                </c:pt>
                <c:pt idx="58">
                  <c:v>286.45232851639753</c:v>
                </c:pt>
                <c:pt idx="59">
                  <c:v>284.32020872555722</c:v>
                </c:pt>
                <c:pt idx="60">
                  <c:v>282.2238522179058</c:v>
                </c:pt>
                <c:pt idx="61">
                  <c:v>280.16883448607371</c:v>
                </c:pt>
                <c:pt idx="62">
                  <c:v>278.16030725137023</c:v>
                </c:pt>
                <c:pt idx="63">
                  <c:v>276.20300262992328</c:v>
                </c:pt>
                <c:pt idx="64">
                  <c:v>274.30123950758178</c:v>
                </c:pt>
                <c:pt idx="65">
                  <c:v>272.45893188563593</c:v>
                </c:pt>
                <c:pt idx="66">
                  <c:v>270.67959896190666</c:v>
                </c:pt>
                <c:pt idx="67">
                  <c:v>268.96637671695157</c:v>
                </c:pt>
                <c:pt idx="68">
                  <c:v>267.32203078264274</c:v>
                </c:pt>
                <c:pt idx="69">
                  <c:v>265.74897037980031</c:v>
                </c:pt>
                <c:pt idx="70">
                  <c:v>264.24926312255423</c:v>
                </c:pt>
                <c:pt idx="71">
                  <c:v>262.82465049929579</c:v>
                </c:pt>
                <c:pt idx="72">
                  <c:v>261.47656385315338</c:v>
                </c:pt>
                <c:pt idx="73">
                  <c:v>260.20614069858357</c:v>
                </c:pt>
                <c:pt idx="74">
                  <c:v>259.01424122464351</c:v>
                </c:pt>
                <c:pt idx="75">
                  <c:v>257.90146484956904</c:v>
                </c:pt>
                <c:pt idx="76">
                  <c:v>256.86816670521773</c:v>
                </c:pt>
                <c:pt idx="77">
                  <c:v>255.91447394357533</c:v>
                </c:pt>
                <c:pt idx="78">
                  <c:v>255.04030177072326</c:v>
                </c:pt>
                <c:pt idx="79">
                  <c:v>254.24536912630029</c:v>
                </c:pt>
                <c:pt idx="80">
                  <c:v>253.5292139384822</c:v>
                </c:pt>
                <c:pt idx="81">
                  <c:v>252.89120789576648</c:v>
                </c:pt>
                <c:pt idx="82">
                  <c:v>252.33057068734695</c:v>
                </c:pt>
                <c:pt idx="83">
                  <c:v>251.84638367356573</c:v>
                </c:pt>
                <c:pt idx="84">
                  <c:v>251.43760295681369</c:v>
                </c:pt>
                <c:pt idx="85">
                  <c:v>251.10307183133227</c:v>
                </c:pt>
                <c:pt idx="86">
                  <c:v>250.84153259764511</c:v>
                </c:pt>
                <c:pt idx="87">
                  <c:v>250.65163773385262</c:v>
                </c:pt>
                <c:pt idx="88">
                  <c:v>250.53196042177586</c:v>
                </c:pt>
                <c:pt idx="89">
                  <c:v>250.4810044309811</c:v>
                </c:pt>
                <c:pt idx="90">
                  <c:v>250.43499721499643</c:v>
                </c:pt>
              </c:numCache>
            </c:numRef>
          </c:yVal>
          <c:smooth val="0"/>
          <c:extLst>
            <c:ext xmlns:c16="http://schemas.microsoft.com/office/drawing/2014/chart" uri="{C3380CC4-5D6E-409C-BE32-E72D297353CC}">
              <c16:uniqueId val="{00000000-F384-4D12-AD84-6687530D6A60}"/>
            </c:ext>
          </c:extLst>
        </c:ser>
        <c:ser>
          <c:idx val="1"/>
          <c:order val="1"/>
          <c:tx>
            <c:strRef>
              <c:f>Analysis!$L$105</c:f>
              <c:strCache>
                <c:ptCount val="1"/>
                <c:pt idx="0">
                  <c:v>Contact Pressure (kPa)</c:v>
                </c:pt>
              </c:strCache>
            </c:strRef>
          </c:tx>
          <c:spPr>
            <a:ln w="19050" cap="rnd">
              <a:solidFill>
                <a:schemeClr val="tx1"/>
              </a:solidFill>
              <a:round/>
            </a:ln>
            <a:effectLst/>
          </c:spPr>
          <c:marker>
            <c:symbol val="none"/>
          </c:marker>
          <c:xVal>
            <c:numRef>
              <c:f>Analysis!$C$106:$C$196</c:f>
              <c:numCache>
                <c:formatCode>0</c:formatCode>
                <c:ptCount val="91"/>
                <c:pt idx="0">
                  <c:v>0</c:v>
                </c:pt>
                <c:pt idx="1">
                  <c:v>1.9888888888888889</c:v>
                </c:pt>
                <c:pt idx="2">
                  <c:v>3.9777777777777779</c:v>
                </c:pt>
                <c:pt idx="3">
                  <c:v>5.9666666666666668</c:v>
                </c:pt>
                <c:pt idx="4">
                  <c:v>7.9555555555555557</c:v>
                </c:pt>
                <c:pt idx="5">
                  <c:v>9.9444444444444446</c:v>
                </c:pt>
                <c:pt idx="6">
                  <c:v>11.933333333333334</c:v>
                </c:pt>
                <c:pt idx="7">
                  <c:v>13.922222222222222</c:v>
                </c:pt>
                <c:pt idx="8">
                  <c:v>15.911111111111111</c:v>
                </c:pt>
                <c:pt idx="9">
                  <c:v>17.899999999999999</c:v>
                </c:pt>
                <c:pt idx="10">
                  <c:v>19.888888888888886</c:v>
                </c:pt>
                <c:pt idx="11">
                  <c:v>21.877777777777773</c:v>
                </c:pt>
                <c:pt idx="12">
                  <c:v>23.86666666666666</c:v>
                </c:pt>
                <c:pt idx="13">
                  <c:v>25.855555555555547</c:v>
                </c:pt>
                <c:pt idx="14">
                  <c:v>27.844444444444434</c:v>
                </c:pt>
                <c:pt idx="15">
                  <c:v>29.833333333333321</c:v>
                </c:pt>
                <c:pt idx="16">
                  <c:v>31.822222222222209</c:v>
                </c:pt>
                <c:pt idx="17">
                  <c:v>33.811111111111096</c:v>
                </c:pt>
                <c:pt idx="18">
                  <c:v>35.799999999999983</c:v>
                </c:pt>
                <c:pt idx="19">
                  <c:v>37.78888888888887</c:v>
                </c:pt>
                <c:pt idx="20">
                  <c:v>39.777777777777757</c:v>
                </c:pt>
                <c:pt idx="21">
                  <c:v>41.766666666666644</c:v>
                </c:pt>
                <c:pt idx="22">
                  <c:v>43.755555555555532</c:v>
                </c:pt>
                <c:pt idx="23">
                  <c:v>45.744444444444419</c:v>
                </c:pt>
                <c:pt idx="24">
                  <c:v>47.733333333333306</c:v>
                </c:pt>
                <c:pt idx="25">
                  <c:v>49.722222222222193</c:v>
                </c:pt>
                <c:pt idx="26">
                  <c:v>51.71111111111108</c:v>
                </c:pt>
                <c:pt idx="27">
                  <c:v>53.699999999999967</c:v>
                </c:pt>
                <c:pt idx="28">
                  <c:v>55.688888888888854</c:v>
                </c:pt>
                <c:pt idx="29">
                  <c:v>57.677777777777742</c:v>
                </c:pt>
                <c:pt idx="30">
                  <c:v>59.666666666666629</c:v>
                </c:pt>
                <c:pt idx="31">
                  <c:v>61.655555555555516</c:v>
                </c:pt>
                <c:pt idx="32">
                  <c:v>63.644444444444403</c:v>
                </c:pt>
                <c:pt idx="33">
                  <c:v>65.633333333333297</c:v>
                </c:pt>
                <c:pt idx="34">
                  <c:v>67.622222222222192</c:v>
                </c:pt>
                <c:pt idx="35">
                  <c:v>69.611111111111086</c:v>
                </c:pt>
                <c:pt idx="36">
                  <c:v>71.59999999999998</c:v>
                </c:pt>
                <c:pt idx="37">
                  <c:v>73.588888888888874</c:v>
                </c:pt>
                <c:pt idx="38">
                  <c:v>75.577777777777769</c:v>
                </c:pt>
                <c:pt idx="39">
                  <c:v>77.566666666666663</c:v>
                </c:pt>
                <c:pt idx="40">
                  <c:v>79.555555555555557</c:v>
                </c:pt>
                <c:pt idx="41">
                  <c:v>81.544444444444451</c:v>
                </c:pt>
                <c:pt idx="42">
                  <c:v>83.533333333333346</c:v>
                </c:pt>
                <c:pt idx="43">
                  <c:v>85.52222222222224</c:v>
                </c:pt>
                <c:pt idx="44">
                  <c:v>87.511111111111134</c:v>
                </c:pt>
                <c:pt idx="45">
                  <c:v>89.500000000000028</c:v>
                </c:pt>
                <c:pt idx="46">
                  <c:v>91.488888888888923</c:v>
                </c:pt>
                <c:pt idx="47">
                  <c:v>93.477777777777817</c:v>
                </c:pt>
                <c:pt idx="48">
                  <c:v>95.466666666666711</c:v>
                </c:pt>
                <c:pt idx="49">
                  <c:v>97.455555555555605</c:v>
                </c:pt>
                <c:pt idx="50">
                  <c:v>99.4444444444445</c:v>
                </c:pt>
                <c:pt idx="51">
                  <c:v>101.43333333333339</c:v>
                </c:pt>
                <c:pt idx="52">
                  <c:v>103.42222222222229</c:v>
                </c:pt>
                <c:pt idx="53">
                  <c:v>105.41111111111118</c:v>
                </c:pt>
                <c:pt idx="54">
                  <c:v>107.40000000000008</c:v>
                </c:pt>
                <c:pt idx="55">
                  <c:v>109.38888888888897</c:v>
                </c:pt>
                <c:pt idx="56">
                  <c:v>111.37777777777787</c:v>
                </c:pt>
                <c:pt idx="57">
                  <c:v>113.36666666666676</c:v>
                </c:pt>
                <c:pt idx="58">
                  <c:v>115.35555555555565</c:v>
                </c:pt>
                <c:pt idx="59">
                  <c:v>117.34444444444455</c:v>
                </c:pt>
                <c:pt idx="60">
                  <c:v>119.33333333333344</c:v>
                </c:pt>
                <c:pt idx="61">
                  <c:v>121.32222222222234</c:v>
                </c:pt>
                <c:pt idx="62">
                  <c:v>123.31111111111123</c:v>
                </c:pt>
                <c:pt idx="63">
                  <c:v>125.30000000000013</c:v>
                </c:pt>
                <c:pt idx="64">
                  <c:v>127.28888888888902</c:v>
                </c:pt>
                <c:pt idx="65">
                  <c:v>129.27777777777791</c:v>
                </c:pt>
                <c:pt idx="66">
                  <c:v>131.26666666666679</c:v>
                </c:pt>
                <c:pt idx="67">
                  <c:v>133.25555555555567</c:v>
                </c:pt>
                <c:pt idx="68">
                  <c:v>135.24444444444455</c:v>
                </c:pt>
                <c:pt idx="69">
                  <c:v>137.23333333333343</c:v>
                </c:pt>
                <c:pt idx="70">
                  <c:v>139.22222222222231</c:v>
                </c:pt>
                <c:pt idx="71">
                  <c:v>141.21111111111119</c:v>
                </c:pt>
                <c:pt idx="72">
                  <c:v>143.20000000000007</c:v>
                </c:pt>
                <c:pt idx="73">
                  <c:v>145.18888888888895</c:v>
                </c:pt>
                <c:pt idx="74">
                  <c:v>147.17777777777783</c:v>
                </c:pt>
                <c:pt idx="75">
                  <c:v>149.16666666666671</c:v>
                </c:pt>
                <c:pt idx="76">
                  <c:v>151.15555555555559</c:v>
                </c:pt>
                <c:pt idx="77">
                  <c:v>153.14444444444447</c:v>
                </c:pt>
                <c:pt idx="78">
                  <c:v>155.13333333333335</c:v>
                </c:pt>
                <c:pt idx="79">
                  <c:v>157.12222222222223</c:v>
                </c:pt>
                <c:pt idx="80">
                  <c:v>159.11111111111111</c:v>
                </c:pt>
                <c:pt idx="81">
                  <c:v>161.1</c:v>
                </c:pt>
                <c:pt idx="82">
                  <c:v>163.08888888888887</c:v>
                </c:pt>
                <c:pt idx="83">
                  <c:v>165.07777777777775</c:v>
                </c:pt>
                <c:pt idx="84">
                  <c:v>167.06666666666663</c:v>
                </c:pt>
                <c:pt idx="85">
                  <c:v>169.05555555555551</c:v>
                </c:pt>
                <c:pt idx="86">
                  <c:v>171.04444444444439</c:v>
                </c:pt>
                <c:pt idx="87">
                  <c:v>173.03333333333327</c:v>
                </c:pt>
                <c:pt idx="88">
                  <c:v>175.02222222222215</c:v>
                </c:pt>
                <c:pt idx="89">
                  <c:v>177.01111111111103</c:v>
                </c:pt>
                <c:pt idx="90">
                  <c:v>178.99999999999991</c:v>
                </c:pt>
              </c:numCache>
            </c:numRef>
          </c:xVal>
          <c:yVal>
            <c:numRef>
              <c:f>Analysis!$BB$106:$BB$196</c:f>
              <c:numCache>
                <c:formatCode>0</c:formatCode>
                <c:ptCount val="91"/>
                <c:pt idx="0">
                  <c:v>583.85160887019458</c:v>
                </c:pt>
                <c:pt idx="1">
                  <c:v>580.6153870565239</c:v>
                </c:pt>
                <c:pt idx="2">
                  <c:v>577.32504638887644</c:v>
                </c:pt>
                <c:pt idx="3">
                  <c:v>573.97968203459322</c:v>
                </c:pt>
                <c:pt idx="4">
                  <c:v>570.57837403279143</c:v>
                </c:pt>
                <c:pt idx="5">
                  <c:v>567.12018704142997</c:v>
                </c:pt>
                <c:pt idx="6">
                  <c:v>563.60417008014633</c:v>
                </c:pt>
                <c:pt idx="7">
                  <c:v>560.02935626879423</c:v>
                </c:pt>
                <c:pt idx="8">
                  <c:v>556.39476256160913</c:v>
                </c:pt>
                <c:pt idx="9">
                  <c:v>552.69938947692924</c:v>
                </c:pt>
                <c:pt idx="10">
                  <c:v>548.94222082239799</c:v>
                </c:pt>
                <c:pt idx="11">
                  <c:v>545.12222341557208</c:v>
                </c:pt>
                <c:pt idx="12">
                  <c:v>541.23834679985805</c:v>
                </c:pt>
                <c:pt idx="13">
                  <c:v>537.28952295569889</c:v>
                </c:pt>
                <c:pt idx="14">
                  <c:v>533.27466600693344</c:v>
                </c:pt>
                <c:pt idx="15">
                  <c:v>529.19267192224493</c:v>
                </c:pt>
                <c:pt idx="16">
                  <c:v>525.04241821161816</c:v>
                </c:pt>
                <c:pt idx="17">
                  <c:v>520.82276361772233</c:v>
                </c:pt>
                <c:pt idx="18">
                  <c:v>516.53254780213297</c:v>
                </c:pt>
                <c:pt idx="19">
                  <c:v>512.17059102630913</c:v>
                </c:pt>
                <c:pt idx="20">
                  <c:v>507.73569382723463</c:v>
                </c:pt>
                <c:pt idx="21">
                  <c:v>503.2266366876384</c:v>
                </c:pt>
                <c:pt idx="22">
                  <c:v>498.64217970069961</c:v>
                </c:pt>
                <c:pt idx="23">
                  <c:v>493.98106222914799</c:v>
                </c:pt>
                <c:pt idx="24">
                  <c:v>489.24200255866322</c:v>
                </c:pt>
                <c:pt idx="25">
                  <c:v>484.42369754548071</c:v>
                </c:pt>
                <c:pt idx="26">
                  <c:v>479.52482225810468</c:v>
                </c:pt>
                <c:pt idx="27">
                  <c:v>474.54402961303134</c:v>
                </c:pt>
                <c:pt idx="28">
                  <c:v>469.47995000438152</c:v>
                </c:pt>
                <c:pt idx="29">
                  <c:v>464.33119092734069</c:v>
                </c:pt>
                <c:pt idx="30">
                  <c:v>459.09633659530368</c:v>
                </c:pt>
                <c:pt idx="31">
                  <c:v>453.77394755061789</c:v>
                </c:pt>
                <c:pt idx="32">
                  <c:v>448.3625602688187</c:v>
                </c:pt>
                <c:pt idx="33">
                  <c:v>442.86068675624711</c:v>
                </c:pt>
                <c:pt idx="34">
                  <c:v>437.26681414094139</c:v>
                </c:pt>
                <c:pt idx="35">
                  <c:v>431.57940425668704</c:v>
                </c:pt>
                <c:pt idx="36">
                  <c:v>425.79689322011313</c:v>
                </c:pt>
                <c:pt idx="37">
                  <c:v>419.91769100071838</c:v>
                </c:pt>
                <c:pt idx="38">
                  <c:v>413.94018098370719</c:v>
                </c:pt>
                <c:pt idx="39">
                  <c:v>407.8627195255176</c:v>
                </c:pt>
                <c:pt idx="40">
                  <c:v>401.68363550191759</c:v>
                </c:pt>
                <c:pt idx="41">
                  <c:v>395.40122984854565</c:v>
                </c:pt>
                <c:pt idx="42">
                  <c:v>389.01377509376977</c:v>
                </c:pt>
                <c:pt idx="43">
                  <c:v>382.51951488373606</c:v>
                </c:pt>
                <c:pt idx="44">
                  <c:v>375.9166634994765</c:v>
                </c:pt>
                <c:pt idx="45">
                  <c:v>369.30825300819453</c:v>
                </c:pt>
                <c:pt idx="46">
                  <c:v>362.86005951546434</c:v>
                </c:pt>
                <c:pt idx="47">
                  <c:v>356.57493089357058</c:v>
                </c:pt>
                <c:pt idx="48">
                  <c:v>350.45536019940346</c:v>
                </c:pt>
                <c:pt idx="49">
                  <c:v>344.50349064982566</c:v>
                </c:pt>
                <c:pt idx="50">
                  <c:v>338.72112212207827</c:v>
                </c:pt>
                <c:pt idx="51">
                  <c:v>333.10971905516845</c:v>
                </c:pt>
                <c:pt idx="52">
                  <c:v>327.67041962274163</c:v>
                </c:pt>
                <c:pt idx="53">
                  <c:v>322.40404604438839</c:v>
                </c:pt>
                <c:pt idx="54">
                  <c:v>317.31111590059498</c:v>
                </c:pt>
                <c:pt idx="55">
                  <c:v>312.39185431648218</c:v>
                </c:pt>
                <c:pt idx="56">
                  <c:v>307.64620688096926</c:v>
                </c:pt>
                <c:pt idx="57">
                  <c:v>303.0738531708846</c:v>
                </c:pt>
                <c:pt idx="58">
                  <c:v>298.67422075366915</c:v>
                </c:pt>
                <c:pt idx="59">
                  <c:v>294.44649954751191</c:v>
                </c:pt>
                <c:pt idx="60">
                  <c:v>290.38965642385267</c:v>
                </c:pt>
                <c:pt idx="61">
                  <c:v>286.50244994401697</c:v>
                </c:pt>
                <c:pt idx="62">
                  <c:v>282.78344512915299</c:v>
                </c:pt>
                <c:pt idx="63">
                  <c:v>279.23102817046077</c:v>
                </c:pt>
                <c:pt idx="64">
                  <c:v>275.84342099480415</c:v>
                </c:pt>
                <c:pt idx="65">
                  <c:v>272.61869560903278</c:v>
                </c:pt>
                <c:pt idx="66">
                  <c:v>269.55478815460202</c:v>
                </c:pt>
                <c:pt idx="67">
                  <c:v>266.64951261225139</c:v>
                </c:pt>
                <c:pt idx="68">
                  <c:v>263.90057410449475</c:v>
                </c:pt>
                <c:pt idx="69">
                  <c:v>261.3055817514084</c:v>
                </c:pt>
                <c:pt idx="70">
                  <c:v>258.86206104260646</c:v>
                </c:pt>
                <c:pt idx="71">
                  <c:v>256.56746569531765</c:v>
                </c:pt>
                <c:pt idx="72">
                  <c:v>254.41918897507702</c:v>
                </c:pt>
                <c:pt idx="73">
                  <c:v>252.41457446169289</c:v>
                </c:pt>
                <c:pt idx="74">
                  <c:v>250.55092624882144</c:v>
                </c:pt>
                <c:pt idx="75">
                  <c:v>248.825518570669</c:v>
                </c:pt>
                <c:pt idx="76">
                  <c:v>247.23560485404076</c:v>
                </c:pt>
                <c:pt idx="77">
                  <c:v>245.77842619817056</c:v>
                </c:pt>
                <c:pt idx="78">
                  <c:v>244.45121928850872</c:v>
                </c:pt>
                <c:pt idx="79">
                  <c:v>243.25122375392797</c:v>
                </c:pt>
                <c:pt idx="80">
                  <c:v>242.17568897965361</c:v>
                </c:pt>
                <c:pt idx="81">
                  <c:v>241.22188039065296</c:v>
                </c:pt>
                <c:pt idx="82">
                  <c:v>240.38708522225659</c:v>
                </c:pt>
                <c:pt idx="83">
                  <c:v>239.66861779645848</c:v>
                </c:pt>
                <c:pt idx="84">
                  <c:v>239.06382432367823</c:v>
                </c:pt>
                <c:pt idx="85">
                  <c:v>238.57008725079788</c:v>
                </c:pt>
                <c:pt idx="86">
                  <c:v>238.18482917703258</c:v>
                </c:pt>
                <c:pt idx="87">
                  <c:v>237.90551635969132</c:v>
                </c:pt>
                <c:pt idx="88">
                  <c:v>237.72966183215203</c:v>
                </c:pt>
                <c:pt idx="89">
                  <c:v>237.65482815644634</c:v>
                </c:pt>
                <c:pt idx="90">
                  <c:v>237.5872834080505</c:v>
                </c:pt>
              </c:numCache>
            </c:numRef>
          </c:yVal>
          <c:smooth val="0"/>
          <c:extLst>
            <c:ext xmlns:c16="http://schemas.microsoft.com/office/drawing/2014/chart" uri="{C3380CC4-5D6E-409C-BE32-E72D297353CC}">
              <c16:uniqueId val="{00000003-F384-4D12-AD84-6687530D6A60}"/>
            </c:ext>
          </c:extLst>
        </c:ser>
        <c:dLbls>
          <c:showLegendKey val="0"/>
          <c:showVal val="0"/>
          <c:showCatName val="0"/>
          <c:showSerName val="0"/>
          <c:showPercent val="0"/>
          <c:showBubbleSize val="0"/>
        </c:dLbls>
        <c:axId val="644052448"/>
        <c:axId val="644052776"/>
      </c:scatterChart>
      <c:scatterChart>
        <c:scatterStyle val="lineMarker"/>
        <c:varyColors val="0"/>
        <c:ser>
          <c:idx val="2"/>
          <c:order val="2"/>
          <c:tx>
            <c:strRef>
              <c:f>Analysis!$M$105</c:f>
              <c:strCache>
                <c:ptCount val="1"/>
                <c:pt idx="0">
                  <c:v>Developed Friction  (u)</c:v>
                </c:pt>
              </c:strCache>
            </c:strRef>
          </c:tx>
          <c:spPr>
            <a:ln w="19050" cap="rnd">
              <a:solidFill>
                <a:srgbClr val="FF0000"/>
              </a:solidFill>
              <a:round/>
            </a:ln>
            <a:effectLst/>
          </c:spPr>
          <c:marker>
            <c:symbol val="none"/>
          </c:marker>
          <c:xVal>
            <c:numRef>
              <c:f>Analysis!$C$106:$C$196</c:f>
              <c:numCache>
                <c:formatCode>0</c:formatCode>
                <c:ptCount val="91"/>
                <c:pt idx="0">
                  <c:v>0</c:v>
                </c:pt>
                <c:pt idx="1">
                  <c:v>1.9888888888888889</c:v>
                </c:pt>
                <c:pt idx="2">
                  <c:v>3.9777777777777779</c:v>
                </c:pt>
                <c:pt idx="3">
                  <c:v>5.9666666666666668</c:v>
                </c:pt>
                <c:pt idx="4">
                  <c:v>7.9555555555555557</c:v>
                </c:pt>
                <c:pt idx="5">
                  <c:v>9.9444444444444446</c:v>
                </c:pt>
                <c:pt idx="6">
                  <c:v>11.933333333333334</c:v>
                </c:pt>
                <c:pt idx="7">
                  <c:v>13.922222222222222</c:v>
                </c:pt>
                <c:pt idx="8">
                  <c:v>15.911111111111111</c:v>
                </c:pt>
                <c:pt idx="9">
                  <c:v>17.899999999999999</c:v>
                </c:pt>
                <c:pt idx="10">
                  <c:v>19.888888888888886</c:v>
                </c:pt>
                <c:pt idx="11">
                  <c:v>21.877777777777773</c:v>
                </c:pt>
                <c:pt idx="12">
                  <c:v>23.86666666666666</c:v>
                </c:pt>
                <c:pt idx="13">
                  <c:v>25.855555555555547</c:v>
                </c:pt>
                <c:pt idx="14">
                  <c:v>27.844444444444434</c:v>
                </c:pt>
                <c:pt idx="15">
                  <c:v>29.833333333333321</c:v>
                </c:pt>
                <c:pt idx="16">
                  <c:v>31.822222222222209</c:v>
                </c:pt>
                <c:pt idx="17">
                  <c:v>33.811111111111096</c:v>
                </c:pt>
                <c:pt idx="18">
                  <c:v>35.799999999999983</c:v>
                </c:pt>
                <c:pt idx="19">
                  <c:v>37.78888888888887</c:v>
                </c:pt>
                <c:pt idx="20">
                  <c:v>39.777777777777757</c:v>
                </c:pt>
                <c:pt idx="21">
                  <c:v>41.766666666666644</c:v>
                </c:pt>
                <c:pt idx="22">
                  <c:v>43.755555555555532</c:v>
                </c:pt>
                <c:pt idx="23">
                  <c:v>45.744444444444419</c:v>
                </c:pt>
                <c:pt idx="24">
                  <c:v>47.733333333333306</c:v>
                </c:pt>
                <c:pt idx="25">
                  <c:v>49.722222222222193</c:v>
                </c:pt>
                <c:pt idx="26">
                  <c:v>51.71111111111108</c:v>
                </c:pt>
                <c:pt idx="27">
                  <c:v>53.699999999999967</c:v>
                </c:pt>
                <c:pt idx="28">
                  <c:v>55.688888888888854</c:v>
                </c:pt>
                <c:pt idx="29">
                  <c:v>57.677777777777742</c:v>
                </c:pt>
                <c:pt idx="30">
                  <c:v>59.666666666666629</c:v>
                </c:pt>
                <c:pt idx="31">
                  <c:v>61.655555555555516</c:v>
                </c:pt>
                <c:pt idx="32">
                  <c:v>63.644444444444403</c:v>
                </c:pt>
                <c:pt idx="33">
                  <c:v>65.633333333333297</c:v>
                </c:pt>
                <c:pt idx="34">
                  <c:v>67.622222222222192</c:v>
                </c:pt>
                <c:pt idx="35">
                  <c:v>69.611111111111086</c:v>
                </c:pt>
                <c:pt idx="36">
                  <c:v>71.59999999999998</c:v>
                </c:pt>
                <c:pt idx="37">
                  <c:v>73.588888888888874</c:v>
                </c:pt>
                <c:pt idx="38">
                  <c:v>75.577777777777769</c:v>
                </c:pt>
                <c:pt idx="39">
                  <c:v>77.566666666666663</c:v>
                </c:pt>
                <c:pt idx="40">
                  <c:v>79.555555555555557</c:v>
                </c:pt>
                <c:pt idx="41">
                  <c:v>81.544444444444451</c:v>
                </c:pt>
                <c:pt idx="42">
                  <c:v>83.533333333333346</c:v>
                </c:pt>
                <c:pt idx="43">
                  <c:v>85.52222222222224</c:v>
                </c:pt>
                <c:pt idx="44">
                  <c:v>87.511111111111134</c:v>
                </c:pt>
                <c:pt idx="45">
                  <c:v>89.500000000000028</c:v>
                </c:pt>
                <c:pt idx="46">
                  <c:v>91.488888888888923</c:v>
                </c:pt>
                <c:pt idx="47">
                  <c:v>93.477777777777817</c:v>
                </c:pt>
                <c:pt idx="48">
                  <c:v>95.466666666666711</c:v>
                </c:pt>
                <c:pt idx="49">
                  <c:v>97.455555555555605</c:v>
                </c:pt>
                <c:pt idx="50">
                  <c:v>99.4444444444445</c:v>
                </c:pt>
                <c:pt idx="51">
                  <c:v>101.43333333333339</c:v>
                </c:pt>
                <c:pt idx="52">
                  <c:v>103.42222222222229</c:v>
                </c:pt>
                <c:pt idx="53">
                  <c:v>105.41111111111118</c:v>
                </c:pt>
                <c:pt idx="54">
                  <c:v>107.40000000000008</c:v>
                </c:pt>
                <c:pt idx="55">
                  <c:v>109.38888888888897</c:v>
                </c:pt>
                <c:pt idx="56">
                  <c:v>111.37777777777787</c:v>
                </c:pt>
                <c:pt idx="57">
                  <c:v>113.36666666666676</c:v>
                </c:pt>
                <c:pt idx="58">
                  <c:v>115.35555555555565</c:v>
                </c:pt>
                <c:pt idx="59">
                  <c:v>117.34444444444455</c:v>
                </c:pt>
                <c:pt idx="60">
                  <c:v>119.33333333333344</c:v>
                </c:pt>
                <c:pt idx="61">
                  <c:v>121.32222222222234</c:v>
                </c:pt>
                <c:pt idx="62">
                  <c:v>123.31111111111123</c:v>
                </c:pt>
                <c:pt idx="63">
                  <c:v>125.30000000000013</c:v>
                </c:pt>
                <c:pt idx="64">
                  <c:v>127.28888888888902</c:v>
                </c:pt>
                <c:pt idx="65">
                  <c:v>129.27777777777791</c:v>
                </c:pt>
                <c:pt idx="66">
                  <c:v>131.26666666666679</c:v>
                </c:pt>
                <c:pt idx="67">
                  <c:v>133.25555555555567</c:v>
                </c:pt>
                <c:pt idx="68">
                  <c:v>135.24444444444455</c:v>
                </c:pt>
                <c:pt idx="69">
                  <c:v>137.23333333333343</c:v>
                </c:pt>
                <c:pt idx="70">
                  <c:v>139.22222222222231</c:v>
                </c:pt>
                <c:pt idx="71">
                  <c:v>141.21111111111119</c:v>
                </c:pt>
                <c:pt idx="72">
                  <c:v>143.20000000000007</c:v>
                </c:pt>
                <c:pt idx="73">
                  <c:v>145.18888888888895</c:v>
                </c:pt>
                <c:pt idx="74">
                  <c:v>147.17777777777783</c:v>
                </c:pt>
                <c:pt idx="75">
                  <c:v>149.16666666666671</c:v>
                </c:pt>
                <c:pt idx="76">
                  <c:v>151.15555555555559</c:v>
                </c:pt>
                <c:pt idx="77">
                  <c:v>153.14444444444447</c:v>
                </c:pt>
                <c:pt idx="78">
                  <c:v>155.13333333333335</c:v>
                </c:pt>
                <c:pt idx="79">
                  <c:v>157.12222222222223</c:v>
                </c:pt>
                <c:pt idx="80">
                  <c:v>159.11111111111111</c:v>
                </c:pt>
                <c:pt idx="81">
                  <c:v>161.1</c:v>
                </c:pt>
                <c:pt idx="82">
                  <c:v>163.08888888888887</c:v>
                </c:pt>
                <c:pt idx="83">
                  <c:v>165.07777777777775</c:v>
                </c:pt>
                <c:pt idx="84">
                  <c:v>167.06666666666663</c:v>
                </c:pt>
                <c:pt idx="85">
                  <c:v>169.05555555555551</c:v>
                </c:pt>
                <c:pt idx="86">
                  <c:v>171.04444444444439</c:v>
                </c:pt>
                <c:pt idx="87">
                  <c:v>173.03333333333327</c:v>
                </c:pt>
                <c:pt idx="88">
                  <c:v>175.02222222222215</c:v>
                </c:pt>
                <c:pt idx="89">
                  <c:v>177.01111111111103</c:v>
                </c:pt>
                <c:pt idx="90">
                  <c:v>178.99999999999991</c:v>
                </c:pt>
              </c:numCache>
            </c:numRef>
          </c:xVal>
          <c:yVal>
            <c:numRef>
              <c:f>Analysis!$M$106:$M$196</c:f>
              <c:numCache>
                <c:formatCode>0.00</c:formatCode>
                <c:ptCount val="91"/>
                <c:pt idx="0">
                  <c:v>0.16449187664998885</c:v>
                </c:pt>
                <c:pt idx="1">
                  <c:v>0.17290004042941301</c:v>
                </c:pt>
                <c:pt idx="2">
                  <c:v>0.18146461508731201</c:v>
                </c:pt>
                <c:pt idx="3">
                  <c:v>0.19019177218209785</c:v>
                </c:pt>
                <c:pt idx="4">
                  <c:v>0.19908799380334205</c:v>
                </c:pt>
                <c:pt idx="5">
                  <c:v>0.20816009223734086</c:v>
                </c:pt>
                <c:pt idx="6">
                  <c:v>0.21741523114795183</c:v>
                </c:pt>
                <c:pt idx="7">
                  <c:v>0.22686094841073129</c:v>
                </c:pt>
                <c:pt idx="8">
                  <c:v>0.23650518075295954</c:v>
                </c:pt>
                <c:pt idx="9">
                  <c:v>0.24635629036845047</c:v>
                </c:pt>
                <c:pt idx="10">
                  <c:v>0.25642309369433886</c:v>
                </c:pt>
                <c:pt idx="11">
                  <c:v>0.26671489255759501</c:v>
                </c:pt>
                <c:pt idx="12">
                  <c:v>0.27724150792215241</c:v>
                </c:pt>
                <c:pt idx="13">
                  <c:v>0.28801331649359968</c:v>
                </c:pt>
                <c:pt idx="14">
                  <c:v>0.29904129046782313</c:v>
                </c:pt>
                <c:pt idx="15">
                  <c:v>0.31033704074326168</c:v>
                </c:pt>
                <c:pt idx="16">
                  <c:v>0.32191286395412827</c:v>
                </c:pt>
                <c:pt idx="17">
                  <c:v>0.33378179372471656</c:v>
                </c:pt>
                <c:pt idx="18">
                  <c:v>0.34595765659352806</c:v>
                </c:pt>
                <c:pt idx="19">
                  <c:v>0.35845513311130561</c:v>
                </c:pt>
                <c:pt idx="20">
                  <c:v>0.37128982468022981</c:v>
                </c:pt>
                <c:pt idx="21">
                  <c:v>0.38447832677373256</c:v>
                </c:pt>
                <c:pt idx="22">
                  <c:v>0.39803830925910277</c:v>
                </c:pt>
                <c:pt idx="23">
                  <c:v>0.41198860464000259</c:v>
                </c:pt>
                <c:pt idx="24">
                  <c:v>0.42634930514524294</c:v>
                </c:pt>
                <c:pt idx="25">
                  <c:v>0.44114186971609332</c:v>
                </c:pt>
                <c:pt idx="26">
                  <c:v>0.45638924208993081</c:v>
                </c:pt>
                <c:pt idx="27">
                  <c:v>0.47211598134658822</c:v>
                </c:pt>
                <c:pt idx="28">
                  <c:v>0.48834840647949546</c:v>
                </c:pt>
                <c:pt idx="29">
                  <c:v>0.50511475678154594</c:v>
                </c:pt>
                <c:pt idx="30">
                  <c:v>0.52244537010154624</c:v>
                </c:pt>
                <c:pt idx="31">
                  <c:v>0.54037288133831995</c:v>
                </c:pt>
                <c:pt idx="32">
                  <c:v>0.55893244390476793</c:v>
                </c:pt>
                <c:pt idx="33">
                  <c:v>0.57816197732406693</c:v>
                </c:pt>
                <c:pt idx="34">
                  <c:v>0.59810244462767914</c:v>
                </c:pt>
                <c:pt idx="35">
                  <c:v>0.61879816382584585</c:v>
                </c:pt>
                <c:pt idx="36">
                  <c:v>0.64029715843527446</c:v>
                </c:pt>
                <c:pt idx="37">
                  <c:v>0.6626515528999456</c:v>
                </c:pt>
                <c:pt idx="38">
                  <c:v>0.68591801975928102</c:v>
                </c:pt>
                <c:pt idx="39">
                  <c:v>0.71015828664057157</c:v>
                </c:pt>
                <c:pt idx="40">
                  <c:v>0.73543971262618724</c:v>
                </c:pt>
                <c:pt idx="41">
                  <c:v>0.76183594532924337</c:v>
                </c:pt>
                <c:pt idx="42">
                  <c:v>0.78942767217803111</c:v>
                </c:pt>
                <c:pt idx="43">
                  <c:v>0.81830348205353765</c:v>
                </c:pt>
                <c:pt idx="44">
                  <c:v>0.84052598023189851</c:v>
                </c:pt>
                <c:pt idx="45">
                  <c:v>0.85062471126662254</c:v>
                </c:pt>
                <c:pt idx="46">
                  <c:v>0.86048513907577351</c:v>
                </c:pt>
                <c:pt idx="47">
                  <c:v>0.87010276038056622</c:v>
                </c:pt>
                <c:pt idx="48">
                  <c:v>0.87947358746020576</c:v>
                </c:pt>
                <c:pt idx="49">
                  <c:v>0.88859414104499745</c:v>
                </c:pt>
                <c:pt idx="50">
                  <c:v>0.89746144107055936</c:v>
                </c:pt>
                <c:pt idx="51">
                  <c:v>0.90607299548470466</c:v>
                </c:pt>
                <c:pt idx="52">
                  <c:v>0.91442678730494376</c:v>
                </c:pt>
                <c:pt idx="53">
                  <c:v>0.9225212601278584</c:v>
                </c:pt>
                <c:pt idx="54">
                  <c:v>0.93035530229199426</c:v>
                </c:pt>
                <c:pt idx="55">
                  <c:v>0.93792822989361058</c:v>
                </c:pt>
                <c:pt idx="56">
                  <c:v>0.94523976884984484</c:v>
                </c:pt>
                <c:pt idx="57">
                  <c:v>0.95229003619692332</c:v>
                </c:pt>
                <c:pt idx="58">
                  <c:v>0.95907952080219339</c:v>
                </c:pt>
                <c:pt idx="59">
                  <c:v>0.96560906365836863</c:v>
                </c:pt>
                <c:pt idx="60">
                  <c:v>0.9718798379167195</c:v>
                </c:pt>
                <c:pt idx="61">
                  <c:v>0.97789332880336322</c:v>
                </c:pt>
                <c:pt idx="62">
                  <c:v>0.98365131354959168</c:v>
                </c:pt>
                <c:pt idx="63">
                  <c:v>0.98915584145366187</c:v>
                </c:pt>
                <c:pt idx="64">
                  <c:v>0.99440921417788164</c:v>
                </c:pt>
                <c:pt idx="65">
                  <c:v>0.99941396637145541</c:v>
                </c:pt>
                <c:pt idx="66">
                  <c:v>1.0041728466966038</c:v>
                </c:pt>
                <c:pt idx="67">
                  <c:v>1.0086887993231373</c:v>
                </c:pt>
                <c:pt idx="68">
                  <c:v>1.0129649459451089</c:v>
                </c:pt>
                <c:pt idx="69">
                  <c:v>1.0170045683624895</c:v>
                </c:pt>
                <c:pt idx="70">
                  <c:v>1.0208110916611342</c:v>
                </c:pt>
                <c:pt idx="71">
                  <c:v>1.0243880680156414</c:v>
                </c:pt>
                <c:pt idx="72">
                  <c:v>1.0277391611320941</c:v>
                </c:pt>
                <c:pt idx="73">
                  <c:v>1.030868131341097</c:v>
                </c:pt>
                <c:pt idx="74">
                  <c:v>1.0337788213459533</c:v>
                </c:pt>
                <c:pt idx="75">
                  <c:v>1.0364751426261867</c:v>
                </c:pt>
                <c:pt idx="76">
                  <c:v>1.0389610624928545</c:v>
                </c:pt>
                <c:pt idx="77">
                  <c:v>1.0412405917890941</c:v>
                </c:pt>
                <c:pt idx="78">
                  <c:v>1.043317773227046</c:v>
                </c:pt>
                <c:pt idx="79">
                  <c:v>1.0451966703505424</c:v>
                </c:pt>
                <c:pt idx="80">
                  <c:v>1.0468813571117059</c:v>
                </c:pt>
                <c:pt idx="81">
                  <c:v>1.0483759080487032</c:v>
                </c:pt>
                <c:pt idx="82">
                  <c:v>1.049684389051299</c:v>
                </c:pt>
                <c:pt idx="83">
                  <c:v>1.0508108487004726</c:v>
                </c:pt>
                <c:pt idx="84">
                  <c:v>1.0517593101680751</c:v>
                </c:pt>
                <c:pt idx="85">
                  <c:v>1.052533763662328</c:v>
                </c:pt>
                <c:pt idx="86">
                  <c:v>1.0531381594047928</c:v>
                </c:pt>
                <c:pt idx="87">
                  <c:v>1.0535764011242612</c:v>
                </c:pt>
                <c:pt idx="88">
                  <c:v>1.0538523400528068</c:v>
                </c:pt>
                <c:pt idx="89">
                  <c:v>1.0539697694089825</c:v>
                </c:pt>
                <c:pt idx="90">
                  <c:v>1.0540757637473395</c:v>
                </c:pt>
              </c:numCache>
            </c:numRef>
          </c:yVal>
          <c:smooth val="0"/>
          <c:extLst>
            <c:ext xmlns:c16="http://schemas.microsoft.com/office/drawing/2014/chart" uri="{C3380CC4-5D6E-409C-BE32-E72D297353CC}">
              <c16:uniqueId val="{00000004-F384-4D12-AD84-6687530D6A60}"/>
            </c:ext>
          </c:extLst>
        </c:ser>
        <c:ser>
          <c:idx val="3"/>
          <c:order val="3"/>
          <c:tx>
            <c:strRef>
              <c:f>Analysis!$R$105</c:f>
              <c:strCache>
                <c:ptCount val="1"/>
                <c:pt idx="0">
                  <c:v>Clean/Dry Friction Limit (u)</c:v>
                </c:pt>
              </c:strCache>
            </c:strRef>
          </c:tx>
          <c:spPr>
            <a:ln w="19050" cap="rnd">
              <a:solidFill>
                <a:srgbClr val="FF0000"/>
              </a:solidFill>
              <a:prstDash val="dash"/>
              <a:round/>
            </a:ln>
            <a:effectLst/>
          </c:spPr>
          <c:marker>
            <c:symbol val="none"/>
          </c:marker>
          <c:xVal>
            <c:numRef>
              <c:f>Analysis!$C$106:$C$196</c:f>
              <c:numCache>
                <c:formatCode>0</c:formatCode>
                <c:ptCount val="91"/>
                <c:pt idx="0">
                  <c:v>0</c:v>
                </c:pt>
                <c:pt idx="1">
                  <c:v>1.9888888888888889</c:v>
                </c:pt>
                <c:pt idx="2">
                  <c:v>3.9777777777777779</c:v>
                </c:pt>
                <c:pt idx="3">
                  <c:v>5.9666666666666668</c:v>
                </c:pt>
                <c:pt idx="4">
                  <c:v>7.9555555555555557</c:v>
                </c:pt>
                <c:pt idx="5">
                  <c:v>9.9444444444444446</c:v>
                </c:pt>
                <c:pt idx="6">
                  <c:v>11.933333333333334</c:v>
                </c:pt>
                <c:pt idx="7">
                  <c:v>13.922222222222222</c:v>
                </c:pt>
                <c:pt idx="8">
                  <c:v>15.911111111111111</c:v>
                </c:pt>
                <c:pt idx="9">
                  <c:v>17.899999999999999</c:v>
                </c:pt>
                <c:pt idx="10">
                  <c:v>19.888888888888886</c:v>
                </c:pt>
                <c:pt idx="11">
                  <c:v>21.877777777777773</c:v>
                </c:pt>
                <c:pt idx="12">
                  <c:v>23.86666666666666</c:v>
                </c:pt>
                <c:pt idx="13">
                  <c:v>25.855555555555547</c:v>
                </c:pt>
                <c:pt idx="14">
                  <c:v>27.844444444444434</c:v>
                </c:pt>
                <c:pt idx="15">
                  <c:v>29.833333333333321</c:v>
                </c:pt>
                <c:pt idx="16">
                  <c:v>31.822222222222209</c:v>
                </c:pt>
                <c:pt idx="17">
                  <c:v>33.811111111111096</c:v>
                </c:pt>
                <c:pt idx="18">
                  <c:v>35.799999999999983</c:v>
                </c:pt>
                <c:pt idx="19">
                  <c:v>37.78888888888887</c:v>
                </c:pt>
                <c:pt idx="20">
                  <c:v>39.777777777777757</c:v>
                </c:pt>
                <c:pt idx="21">
                  <c:v>41.766666666666644</c:v>
                </c:pt>
                <c:pt idx="22">
                  <c:v>43.755555555555532</c:v>
                </c:pt>
                <c:pt idx="23">
                  <c:v>45.744444444444419</c:v>
                </c:pt>
                <c:pt idx="24">
                  <c:v>47.733333333333306</c:v>
                </c:pt>
                <c:pt idx="25">
                  <c:v>49.722222222222193</c:v>
                </c:pt>
                <c:pt idx="26">
                  <c:v>51.71111111111108</c:v>
                </c:pt>
                <c:pt idx="27">
                  <c:v>53.699999999999967</c:v>
                </c:pt>
                <c:pt idx="28">
                  <c:v>55.688888888888854</c:v>
                </c:pt>
                <c:pt idx="29">
                  <c:v>57.677777777777742</c:v>
                </c:pt>
                <c:pt idx="30">
                  <c:v>59.666666666666629</c:v>
                </c:pt>
                <c:pt idx="31">
                  <c:v>61.655555555555516</c:v>
                </c:pt>
                <c:pt idx="32">
                  <c:v>63.644444444444403</c:v>
                </c:pt>
                <c:pt idx="33">
                  <c:v>65.633333333333297</c:v>
                </c:pt>
                <c:pt idx="34">
                  <c:v>67.622222222222192</c:v>
                </c:pt>
                <c:pt idx="35">
                  <c:v>69.611111111111086</c:v>
                </c:pt>
                <c:pt idx="36">
                  <c:v>71.59999999999998</c:v>
                </c:pt>
                <c:pt idx="37">
                  <c:v>73.588888888888874</c:v>
                </c:pt>
                <c:pt idx="38">
                  <c:v>75.577777777777769</c:v>
                </c:pt>
                <c:pt idx="39">
                  <c:v>77.566666666666663</c:v>
                </c:pt>
                <c:pt idx="40">
                  <c:v>79.555555555555557</c:v>
                </c:pt>
                <c:pt idx="41">
                  <c:v>81.544444444444451</c:v>
                </c:pt>
                <c:pt idx="42">
                  <c:v>83.533333333333346</c:v>
                </c:pt>
                <c:pt idx="43">
                  <c:v>85.52222222222224</c:v>
                </c:pt>
                <c:pt idx="44">
                  <c:v>87.511111111111134</c:v>
                </c:pt>
                <c:pt idx="45">
                  <c:v>89.500000000000028</c:v>
                </c:pt>
                <c:pt idx="46">
                  <c:v>91.488888888888923</c:v>
                </c:pt>
                <c:pt idx="47">
                  <c:v>93.477777777777817</c:v>
                </c:pt>
                <c:pt idx="48">
                  <c:v>95.466666666666711</c:v>
                </c:pt>
                <c:pt idx="49">
                  <c:v>97.455555555555605</c:v>
                </c:pt>
                <c:pt idx="50">
                  <c:v>99.4444444444445</c:v>
                </c:pt>
                <c:pt idx="51">
                  <c:v>101.43333333333339</c:v>
                </c:pt>
                <c:pt idx="52">
                  <c:v>103.42222222222229</c:v>
                </c:pt>
                <c:pt idx="53">
                  <c:v>105.41111111111118</c:v>
                </c:pt>
                <c:pt idx="54">
                  <c:v>107.40000000000008</c:v>
                </c:pt>
                <c:pt idx="55">
                  <c:v>109.38888888888897</c:v>
                </c:pt>
                <c:pt idx="56">
                  <c:v>111.37777777777787</c:v>
                </c:pt>
                <c:pt idx="57">
                  <c:v>113.36666666666676</c:v>
                </c:pt>
                <c:pt idx="58">
                  <c:v>115.35555555555565</c:v>
                </c:pt>
                <c:pt idx="59">
                  <c:v>117.34444444444455</c:v>
                </c:pt>
                <c:pt idx="60">
                  <c:v>119.33333333333344</c:v>
                </c:pt>
                <c:pt idx="61">
                  <c:v>121.32222222222234</c:v>
                </c:pt>
                <c:pt idx="62">
                  <c:v>123.31111111111123</c:v>
                </c:pt>
                <c:pt idx="63">
                  <c:v>125.30000000000013</c:v>
                </c:pt>
                <c:pt idx="64">
                  <c:v>127.28888888888902</c:v>
                </c:pt>
                <c:pt idx="65">
                  <c:v>129.27777777777791</c:v>
                </c:pt>
                <c:pt idx="66">
                  <c:v>131.26666666666679</c:v>
                </c:pt>
                <c:pt idx="67">
                  <c:v>133.25555555555567</c:v>
                </c:pt>
                <c:pt idx="68">
                  <c:v>135.24444444444455</c:v>
                </c:pt>
                <c:pt idx="69">
                  <c:v>137.23333333333343</c:v>
                </c:pt>
                <c:pt idx="70">
                  <c:v>139.22222222222231</c:v>
                </c:pt>
                <c:pt idx="71">
                  <c:v>141.21111111111119</c:v>
                </c:pt>
                <c:pt idx="72">
                  <c:v>143.20000000000007</c:v>
                </c:pt>
                <c:pt idx="73">
                  <c:v>145.18888888888895</c:v>
                </c:pt>
                <c:pt idx="74">
                  <c:v>147.17777777777783</c:v>
                </c:pt>
                <c:pt idx="75">
                  <c:v>149.16666666666671</c:v>
                </c:pt>
                <c:pt idx="76">
                  <c:v>151.15555555555559</c:v>
                </c:pt>
                <c:pt idx="77">
                  <c:v>153.14444444444447</c:v>
                </c:pt>
                <c:pt idx="78">
                  <c:v>155.13333333333335</c:v>
                </c:pt>
                <c:pt idx="79">
                  <c:v>157.12222222222223</c:v>
                </c:pt>
                <c:pt idx="80">
                  <c:v>159.11111111111111</c:v>
                </c:pt>
                <c:pt idx="81">
                  <c:v>161.1</c:v>
                </c:pt>
                <c:pt idx="82">
                  <c:v>163.08888888888887</c:v>
                </c:pt>
                <c:pt idx="83">
                  <c:v>165.07777777777775</c:v>
                </c:pt>
                <c:pt idx="84">
                  <c:v>167.06666666666663</c:v>
                </c:pt>
                <c:pt idx="85">
                  <c:v>169.05555555555551</c:v>
                </c:pt>
                <c:pt idx="86">
                  <c:v>171.04444444444439</c:v>
                </c:pt>
                <c:pt idx="87">
                  <c:v>173.03333333333327</c:v>
                </c:pt>
                <c:pt idx="88">
                  <c:v>175.02222222222215</c:v>
                </c:pt>
                <c:pt idx="89">
                  <c:v>177.01111111111103</c:v>
                </c:pt>
                <c:pt idx="90">
                  <c:v>178.99999999999991</c:v>
                </c:pt>
              </c:numCache>
            </c:numRef>
          </c:xVal>
          <c:yVal>
            <c:numRef>
              <c:f>Analysis!$R$106:$R$196</c:f>
              <c:numCache>
                <c:formatCode>0.00</c:formatCode>
                <c:ptCount val="91"/>
                <c:pt idx="0">
                  <c:v>0.54637170670351276</c:v>
                </c:pt>
                <c:pt idx="1">
                  <c:v>0.54941706181297745</c:v>
                </c:pt>
                <c:pt idx="2">
                  <c:v>0.5525483468893656</c:v>
                </c:pt>
                <c:pt idx="3">
                  <c:v>0.55576880155275976</c:v>
                </c:pt>
                <c:pt idx="4">
                  <c:v>0.55908182734886991</c:v>
                </c:pt>
                <c:pt idx="5">
                  <c:v>0.56249099800902702</c:v>
                </c:pt>
                <c:pt idx="6">
                  <c:v>0.56600007050096379</c:v>
                </c:pt>
                <c:pt idx="7">
                  <c:v>0.56961299694241618</c:v>
                </c:pt>
                <c:pt idx="8">
                  <c:v>0.57333393745717975</c:v>
                </c:pt>
                <c:pt idx="9">
                  <c:v>0.57716727406176316</c:v>
                </c:pt>
                <c:pt idx="10">
                  <c:v>0.58111762568033121</c:v>
                </c:pt>
                <c:pt idx="11">
                  <c:v>0.58518986439635834</c:v>
                </c:pt>
                <c:pt idx="12">
                  <c:v>0.58938913306148555</c:v>
                </c:pt>
                <c:pt idx="13">
                  <c:v>0.59372086439567984</c:v>
                </c:pt>
                <c:pt idx="14">
                  <c:v>0.59819080172815198</c:v>
                </c:pt>
                <c:pt idx="15">
                  <c:v>0.60280502154585991</c:v>
                </c:pt>
                <c:pt idx="16">
                  <c:v>0.60756995803608993</c:v>
                </c:pt>
                <c:pt idx="17">
                  <c:v>0.61249242983193064</c:v>
                </c:pt>
                <c:pt idx="18">
                  <c:v>0.61757966919482232</c:v>
                </c:pt>
                <c:pt idx="19">
                  <c:v>0.62283935389725187</c:v>
                </c:pt>
                <c:pt idx="20">
                  <c:v>0.62827964210163445</c:v>
                </c:pt>
                <c:pt idx="21">
                  <c:v>0.63390921056909177</c:v>
                </c:pt>
                <c:pt idx="22">
                  <c:v>0.65387782404104644</c:v>
                </c:pt>
                <c:pt idx="23">
                  <c:v>0.66094348741333397</c:v>
                </c:pt>
                <c:pt idx="24">
                  <c:v>0.66812874662405008</c:v>
                </c:pt>
                <c:pt idx="25">
                  <c:v>0.67543569383747526</c:v>
                </c:pt>
                <c:pt idx="26">
                  <c:v>0.68286646339456125</c:v>
                </c:pt>
                <c:pt idx="27">
                  <c:v>0.69042323319435184</c:v>
                </c:pt>
                <c:pt idx="28">
                  <c:v>0.69810822617424684</c:v>
                </c:pt>
                <c:pt idx="29">
                  <c:v>0.70592371190071745</c:v>
                </c:pt>
                <c:pt idx="30">
                  <c:v>0.71387200828376918</c:v>
                </c:pt>
                <c:pt idx="31">
                  <c:v>0.7219554834304609</c:v>
                </c:pt>
                <c:pt idx="32">
                  <c:v>0.73017655765511058</c:v>
                </c:pt>
                <c:pt idx="33">
                  <c:v>0.73853770566658339</c:v>
                </c:pt>
                <c:pt idx="34">
                  <c:v>0.7470414589562937</c:v>
                </c:pt>
                <c:pt idx="35">
                  <c:v>0.75569040841441637</c:v>
                </c:pt>
                <c:pt idx="36">
                  <c:v>0.76448720720635555</c:v>
                </c:pt>
                <c:pt idx="37">
                  <c:v>0.77343457394697768</c:v>
                </c:pt>
                <c:pt idx="38">
                  <c:v>0.78253529621663165</c:v>
                </c:pt>
                <c:pt idx="39">
                  <c:v>0.7917922344707955</c:v>
                </c:pt>
                <c:pt idx="40">
                  <c:v>0.80120832640462558</c:v>
                </c:pt>
                <c:pt idx="41">
                  <c:v>0.81078659184508894</c:v>
                </c:pt>
                <c:pt idx="42">
                  <c:v>0.82053013825722509</c:v>
                </c:pt>
                <c:pt idx="43">
                  <c:v>0.830442166967992</c:v>
                </c:pt>
                <c:pt idx="44">
                  <c:v>0.84052598023189851</c:v>
                </c:pt>
                <c:pt idx="45">
                  <c:v>0.85062471126662254</c:v>
                </c:pt>
                <c:pt idx="46">
                  <c:v>0.86048513907577351</c:v>
                </c:pt>
                <c:pt idx="47">
                  <c:v>0.87010276038056622</c:v>
                </c:pt>
                <c:pt idx="48">
                  <c:v>0.87947358746020576</c:v>
                </c:pt>
                <c:pt idx="49">
                  <c:v>0.88859414104499745</c:v>
                </c:pt>
                <c:pt idx="50">
                  <c:v>0.89746144107055936</c:v>
                </c:pt>
                <c:pt idx="51">
                  <c:v>0.90607299548470466</c:v>
                </c:pt>
                <c:pt idx="52">
                  <c:v>0.91442678730494376</c:v>
                </c:pt>
                <c:pt idx="53">
                  <c:v>0.9225212601278584</c:v>
                </c:pt>
                <c:pt idx="54">
                  <c:v>0.93035530229199426</c:v>
                </c:pt>
                <c:pt idx="55">
                  <c:v>0.93792822989361058</c:v>
                </c:pt>
                <c:pt idx="56">
                  <c:v>0.94523976884984484</c:v>
                </c:pt>
                <c:pt idx="57">
                  <c:v>0.95229003619692332</c:v>
                </c:pt>
                <c:pt idx="58">
                  <c:v>0.95907952080219339</c:v>
                </c:pt>
                <c:pt idx="59">
                  <c:v>0.96560906365836863</c:v>
                </c:pt>
                <c:pt idx="60">
                  <c:v>0.9718798379167195</c:v>
                </c:pt>
                <c:pt idx="61">
                  <c:v>0.97789332880336322</c:v>
                </c:pt>
                <c:pt idx="62">
                  <c:v>0.98365131354959168</c:v>
                </c:pt>
                <c:pt idx="63">
                  <c:v>0.98915584145366187</c:v>
                </c:pt>
                <c:pt idx="64">
                  <c:v>0.99440921417788164</c:v>
                </c:pt>
                <c:pt idx="65">
                  <c:v>0.99941396637145541</c:v>
                </c:pt>
                <c:pt idx="66">
                  <c:v>1.0041728466966038</c:v>
                </c:pt>
                <c:pt idx="67">
                  <c:v>1.0086887993231373</c:v>
                </c:pt>
                <c:pt idx="68">
                  <c:v>1.0129649459451089</c:v>
                </c:pt>
                <c:pt idx="69">
                  <c:v>1.0170045683624895</c:v>
                </c:pt>
                <c:pt idx="70">
                  <c:v>1.0208110916611342</c:v>
                </c:pt>
                <c:pt idx="71">
                  <c:v>1.0243880680156414</c:v>
                </c:pt>
                <c:pt idx="72">
                  <c:v>1.0277391611320941</c:v>
                </c:pt>
                <c:pt idx="73">
                  <c:v>1.030868131341097</c:v>
                </c:pt>
                <c:pt idx="74">
                  <c:v>1.0337788213459533</c:v>
                </c:pt>
                <c:pt idx="75">
                  <c:v>1.0364751426261867</c:v>
                </c:pt>
                <c:pt idx="76">
                  <c:v>1.0389610624928545</c:v>
                </c:pt>
                <c:pt idx="77">
                  <c:v>1.0412405917890941</c:v>
                </c:pt>
                <c:pt idx="78">
                  <c:v>1.043317773227046</c:v>
                </c:pt>
                <c:pt idx="79">
                  <c:v>1.0451966703505424</c:v>
                </c:pt>
                <c:pt idx="80">
                  <c:v>1.0468813571117059</c:v>
                </c:pt>
                <c:pt idx="81">
                  <c:v>1.0483759080487032</c:v>
                </c:pt>
                <c:pt idx="82">
                  <c:v>1.049684389051299</c:v>
                </c:pt>
                <c:pt idx="83">
                  <c:v>1.0508108487004726</c:v>
                </c:pt>
                <c:pt idx="84">
                  <c:v>1.0517593101680751</c:v>
                </c:pt>
                <c:pt idx="85">
                  <c:v>1.052533763662328</c:v>
                </c:pt>
                <c:pt idx="86">
                  <c:v>1.0531381594047928</c:v>
                </c:pt>
                <c:pt idx="87">
                  <c:v>1.0535764011242612</c:v>
                </c:pt>
                <c:pt idx="88">
                  <c:v>1.0538523400528068</c:v>
                </c:pt>
                <c:pt idx="89">
                  <c:v>1.0539697694089825</c:v>
                </c:pt>
                <c:pt idx="90">
                  <c:v>1.0540757637473395</c:v>
                </c:pt>
              </c:numCache>
            </c:numRef>
          </c:yVal>
          <c:smooth val="0"/>
          <c:extLst>
            <c:ext xmlns:c16="http://schemas.microsoft.com/office/drawing/2014/chart" uri="{C3380CC4-5D6E-409C-BE32-E72D297353CC}">
              <c16:uniqueId val="{00000005-F384-4D12-AD84-6687530D6A60}"/>
            </c:ext>
          </c:extLst>
        </c:ser>
        <c:ser>
          <c:idx val="4"/>
          <c:order val="4"/>
          <c:tx>
            <c:strRef>
              <c:f>Analysis!$S$105</c:f>
              <c:strCache>
                <c:ptCount val="1"/>
                <c:pt idx="0">
                  <c:v>Wet/Dirty Friction Limit (u)</c:v>
                </c:pt>
              </c:strCache>
            </c:strRef>
          </c:tx>
          <c:spPr>
            <a:ln w="19050" cap="rnd">
              <a:solidFill>
                <a:srgbClr val="00B050"/>
              </a:solidFill>
              <a:prstDash val="dash"/>
              <a:round/>
            </a:ln>
            <a:effectLst/>
          </c:spPr>
          <c:marker>
            <c:symbol val="none"/>
          </c:marker>
          <c:xVal>
            <c:numRef>
              <c:f>Analysis!$C$106:$C$196</c:f>
              <c:numCache>
                <c:formatCode>0</c:formatCode>
                <c:ptCount val="91"/>
                <c:pt idx="0">
                  <c:v>0</c:v>
                </c:pt>
                <c:pt idx="1">
                  <c:v>1.9888888888888889</c:v>
                </c:pt>
                <c:pt idx="2">
                  <c:v>3.9777777777777779</c:v>
                </c:pt>
                <c:pt idx="3">
                  <c:v>5.9666666666666668</c:v>
                </c:pt>
                <c:pt idx="4">
                  <c:v>7.9555555555555557</c:v>
                </c:pt>
                <c:pt idx="5">
                  <c:v>9.9444444444444446</c:v>
                </c:pt>
                <c:pt idx="6">
                  <c:v>11.933333333333334</c:v>
                </c:pt>
                <c:pt idx="7">
                  <c:v>13.922222222222222</c:v>
                </c:pt>
                <c:pt idx="8">
                  <c:v>15.911111111111111</c:v>
                </c:pt>
                <c:pt idx="9">
                  <c:v>17.899999999999999</c:v>
                </c:pt>
                <c:pt idx="10">
                  <c:v>19.888888888888886</c:v>
                </c:pt>
                <c:pt idx="11">
                  <c:v>21.877777777777773</c:v>
                </c:pt>
                <c:pt idx="12">
                  <c:v>23.86666666666666</c:v>
                </c:pt>
                <c:pt idx="13">
                  <c:v>25.855555555555547</c:v>
                </c:pt>
                <c:pt idx="14">
                  <c:v>27.844444444444434</c:v>
                </c:pt>
                <c:pt idx="15">
                  <c:v>29.833333333333321</c:v>
                </c:pt>
                <c:pt idx="16">
                  <c:v>31.822222222222209</c:v>
                </c:pt>
                <c:pt idx="17">
                  <c:v>33.811111111111096</c:v>
                </c:pt>
                <c:pt idx="18">
                  <c:v>35.799999999999983</c:v>
                </c:pt>
                <c:pt idx="19">
                  <c:v>37.78888888888887</c:v>
                </c:pt>
                <c:pt idx="20">
                  <c:v>39.777777777777757</c:v>
                </c:pt>
                <c:pt idx="21">
                  <c:v>41.766666666666644</c:v>
                </c:pt>
                <c:pt idx="22">
                  <c:v>43.755555555555532</c:v>
                </c:pt>
                <c:pt idx="23">
                  <c:v>45.744444444444419</c:v>
                </c:pt>
                <c:pt idx="24">
                  <c:v>47.733333333333306</c:v>
                </c:pt>
                <c:pt idx="25">
                  <c:v>49.722222222222193</c:v>
                </c:pt>
                <c:pt idx="26">
                  <c:v>51.71111111111108</c:v>
                </c:pt>
                <c:pt idx="27">
                  <c:v>53.699999999999967</c:v>
                </c:pt>
                <c:pt idx="28">
                  <c:v>55.688888888888854</c:v>
                </c:pt>
                <c:pt idx="29">
                  <c:v>57.677777777777742</c:v>
                </c:pt>
                <c:pt idx="30">
                  <c:v>59.666666666666629</c:v>
                </c:pt>
                <c:pt idx="31">
                  <c:v>61.655555555555516</c:v>
                </c:pt>
                <c:pt idx="32">
                  <c:v>63.644444444444403</c:v>
                </c:pt>
                <c:pt idx="33">
                  <c:v>65.633333333333297</c:v>
                </c:pt>
                <c:pt idx="34">
                  <c:v>67.622222222222192</c:v>
                </c:pt>
                <c:pt idx="35">
                  <c:v>69.611111111111086</c:v>
                </c:pt>
                <c:pt idx="36">
                  <c:v>71.59999999999998</c:v>
                </c:pt>
                <c:pt idx="37">
                  <c:v>73.588888888888874</c:v>
                </c:pt>
                <c:pt idx="38">
                  <c:v>75.577777777777769</c:v>
                </c:pt>
                <c:pt idx="39">
                  <c:v>77.566666666666663</c:v>
                </c:pt>
                <c:pt idx="40">
                  <c:v>79.555555555555557</c:v>
                </c:pt>
                <c:pt idx="41">
                  <c:v>81.544444444444451</c:v>
                </c:pt>
                <c:pt idx="42">
                  <c:v>83.533333333333346</c:v>
                </c:pt>
                <c:pt idx="43">
                  <c:v>85.52222222222224</c:v>
                </c:pt>
                <c:pt idx="44">
                  <c:v>87.511111111111134</c:v>
                </c:pt>
                <c:pt idx="45">
                  <c:v>89.500000000000028</c:v>
                </c:pt>
                <c:pt idx="46">
                  <c:v>91.488888888888923</c:v>
                </c:pt>
                <c:pt idx="47">
                  <c:v>93.477777777777817</c:v>
                </c:pt>
                <c:pt idx="48">
                  <c:v>95.466666666666711</c:v>
                </c:pt>
                <c:pt idx="49">
                  <c:v>97.455555555555605</c:v>
                </c:pt>
                <c:pt idx="50">
                  <c:v>99.4444444444445</c:v>
                </c:pt>
                <c:pt idx="51">
                  <c:v>101.43333333333339</c:v>
                </c:pt>
                <c:pt idx="52">
                  <c:v>103.42222222222229</c:v>
                </c:pt>
                <c:pt idx="53">
                  <c:v>105.41111111111118</c:v>
                </c:pt>
                <c:pt idx="54">
                  <c:v>107.40000000000008</c:v>
                </c:pt>
                <c:pt idx="55">
                  <c:v>109.38888888888897</c:v>
                </c:pt>
                <c:pt idx="56">
                  <c:v>111.37777777777787</c:v>
                </c:pt>
                <c:pt idx="57">
                  <c:v>113.36666666666676</c:v>
                </c:pt>
                <c:pt idx="58">
                  <c:v>115.35555555555565</c:v>
                </c:pt>
                <c:pt idx="59">
                  <c:v>117.34444444444455</c:v>
                </c:pt>
                <c:pt idx="60">
                  <c:v>119.33333333333344</c:v>
                </c:pt>
                <c:pt idx="61">
                  <c:v>121.32222222222234</c:v>
                </c:pt>
                <c:pt idx="62">
                  <c:v>123.31111111111123</c:v>
                </c:pt>
                <c:pt idx="63">
                  <c:v>125.30000000000013</c:v>
                </c:pt>
                <c:pt idx="64">
                  <c:v>127.28888888888902</c:v>
                </c:pt>
                <c:pt idx="65">
                  <c:v>129.27777777777791</c:v>
                </c:pt>
                <c:pt idx="66">
                  <c:v>131.26666666666679</c:v>
                </c:pt>
                <c:pt idx="67">
                  <c:v>133.25555555555567</c:v>
                </c:pt>
                <c:pt idx="68">
                  <c:v>135.24444444444455</c:v>
                </c:pt>
                <c:pt idx="69">
                  <c:v>137.23333333333343</c:v>
                </c:pt>
                <c:pt idx="70">
                  <c:v>139.22222222222231</c:v>
                </c:pt>
                <c:pt idx="71">
                  <c:v>141.21111111111119</c:v>
                </c:pt>
                <c:pt idx="72">
                  <c:v>143.20000000000007</c:v>
                </c:pt>
                <c:pt idx="73">
                  <c:v>145.18888888888895</c:v>
                </c:pt>
                <c:pt idx="74">
                  <c:v>147.17777777777783</c:v>
                </c:pt>
                <c:pt idx="75">
                  <c:v>149.16666666666671</c:v>
                </c:pt>
                <c:pt idx="76">
                  <c:v>151.15555555555559</c:v>
                </c:pt>
                <c:pt idx="77">
                  <c:v>153.14444444444447</c:v>
                </c:pt>
                <c:pt idx="78">
                  <c:v>155.13333333333335</c:v>
                </c:pt>
                <c:pt idx="79">
                  <c:v>157.12222222222223</c:v>
                </c:pt>
                <c:pt idx="80">
                  <c:v>159.11111111111111</c:v>
                </c:pt>
                <c:pt idx="81">
                  <c:v>161.1</c:v>
                </c:pt>
                <c:pt idx="82">
                  <c:v>163.08888888888887</c:v>
                </c:pt>
                <c:pt idx="83">
                  <c:v>165.07777777777775</c:v>
                </c:pt>
                <c:pt idx="84">
                  <c:v>167.06666666666663</c:v>
                </c:pt>
                <c:pt idx="85">
                  <c:v>169.05555555555551</c:v>
                </c:pt>
                <c:pt idx="86">
                  <c:v>171.04444444444439</c:v>
                </c:pt>
                <c:pt idx="87">
                  <c:v>173.03333333333327</c:v>
                </c:pt>
                <c:pt idx="88">
                  <c:v>175.02222222222215</c:v>
                </c:pt>
                <c:pt idx="89">
                  <c:v>177.01111111111103</c:v>
                </c:pt>
                <c:pt idx="90">
                  <c:v>178.99999999999991</c:v>
                </c:pt>
              </c:numCache>
            </c:numRef>
          </c:xVal>
          <c:yVal>
            <c:numRef>
              <c:f>Analysis!$S$106:$S$196</c:f>
              <c:numCache>
                <c:formatCode>0.00</c:formatCode>
                <c:ptCount val="91"/>
                <c:pt idx="0">
                  <c:v>0.37893521593953305</c:v>
                </c:pt>
                <c:pt idx="1">
                  <c:v>0.38104731706383921</c:v>
                </c:pt>
                <c:pt idx="2">
                  <c:v>0.38321901477810844</c:v>
                </c:pt>
                <c:pt idx="3">
                  <c:v>0.38545255591562372</c:v>
                </c:pt>
                <c:pt idx="4">
                  <c:v>0.38775029961292595</c:v>
                </c:pt>
                <c:pt idx="5">
                  <c:v>0.39011472442561557</c:v>
                </c:pt>
                <c:pt idx="6">
                  <c:v>0.39254843599260397</c:v>
                </c:pt>
                <c:pt idx="7">
                  <c:v>0.39505417529877257</c:v>
                </c:pt>
                <c:pt idx="8">
                  <c:v>0.39763482759126983</c:v>
                </c:pt>
                <c:pt idx="9">
                  <c:v>0.40029343201057771</c:v>
                </c:pt>
                <c:pt idx="10">
                  <c:v>0.4030331920041007</c:v>
                </c:pt>
                <c:pt idx="11">
                  <c:v>0.40585748659747434</c:v>
                </c:pt>
                <c:pt idx="12">
                  <c:v>0.40876988260715935</c:v>
                </c:pt>
                <c:pt idx="13">
                  <c:v>0.41177414788732636</c:v>
                </c:pt>
                <c:pt idx="14">
                  <c:v>0.41487426571468605</c:v>
                </c:pt>
                <c:pt idx="15">
                  <c:v>0.41807445042696739</c:v>
                </c:pt>
                <c:pt idx="16">
                  <c:v>0.421379164444385</c:v>
                </c:pt>
                <c:pt idx="17">
                  <c:v>0.42479313681891967</c:v>
                </c:pt>
                <c:pt idx="18">
                  <c:v>0.42832138347382842</c:v>
                </c:pt>
                <c:pt idx="19">
                  <c:v>0.43196922931583598</c:v>
                </c:pt>
                <c:pt idx="20">
                  <c:v>0.43574233242532717</c:v>
                </c:pt>
                <c:pt idx="21">
                  <c:v>0.43964671055598303</c:v>
                </c:pt>
                <c:pt idx="22">
                  <c:v>0.45349591022201613</c:v>
                </c:pt>
                <c:pt idx="23">
                  <c:v>0.4583962896576349</c:v>
                </c:pt>
                <c:pt idx="24">
                  <c:v>0.46337961459409927</c:v>
                </c:pt>
                <c:pt idx="25">
                  <c:v>0.46844733604857158</c:v>
                </c:pt>
                <c:pt idx="26">
                  <c:v>0.4736009342897764</c:v>
                </c:pt>
                <c:pt idx="27">
                  <c:v>0.47884191979608276</c:v>
                </c:pt>
                <c:pt idx="28">
                  <c:v>0.48417183428213895</c:v>
                </c:pt>
                <c:pt idx="29">
                  <c:v>0.48959225180211052</c:v>
                </c:pt>
                <c:pt idx="30">
                  <c:v>0.49510477993874319</c:v>
                </c:pt>
                <c:pt idx="31">
                  <c:v>0.50071106108886809</c:v>
                </c:pt>
                <c:pt idx="32">
                  <c:v>0.50641277385757677</c:v>
                </c:pt>
                <c:pt idx="33">
                  <c:v>0.51221163457521113</c:v>
                </c:pt>
                <c:pt idx="34">
                  <c:v>0.51810939895355856</c:v>
                </c:pt>
                <c:pt idx="35">
                  <c:v>0.52410786390032105</c:v>
                </c:pt>
                <c:pt idx="36">
                  <c:v>0.5302088695140853</c:v>
                </c:pt>
                <c:pt idx="37">
                  <c:v>0.53641430128580714</c:v>
                </c:pt>
                <c:pt idx="38">
                  <c:v>0.54272609253734139</c:v>
                </c:pt>
                <c:pt idx="39">
                  <c:v>0.54914622713297112</c:v>
                </c:pt>
                <c:pt idx="40">
                  <c:v>0.55567674250643395</c:v>
                </c:pt>
                <c:pt idx="41">
                  <c:v>0.56231973305385208</c:v>
                </c:pt>
                <c:pt idx="42">
                  <c:v>0.56907735395259162</c:v>
                </c:pt>
                <c:pt idx="43">
                  <c:v>0.57595182547780099</c:v>
                </c:pt>
                <c:pt idx="44">
                  <c:v>0.58294543790276832</c:v>
                </c:pt>
                <c:pt idx="45">
                  <c:v>0.58994939652362532</c:v>
                </c:pt>
                <c:pt idx="46">
                  <c:v>0.59678808032674624</c:v>
                </c:pt>
                <c:pt idx="47">
                  <c:v>0.60345836607039272</c:v>
                </c:pt>
                <c:pt idx="48">
                  <c:v>0.60995748807723948</c:v>
                </c:pt>
                <c:pt idx="49">
                  <c:v>0.61628303330540146</c:v>
                </c:pt>
                <c:pt idx="50">
                  <c:v>0.62243293493603313</c:v>
                </c:pt>
                <c:pt idx="51">
                  <c:v>0.62840546461035973</c:v>
                </c:pt>
                <c:pt idx="52">
                  <c:v>0.63419922345342883</c:v>
                </c:pt>
                <c:pt idx="53">
                  <c:v>0.6398131320241599</c:v>
                </c:pt>
                <c:pt idx="54">
                  <c:v>0.64524641933154447</c:v>
                </c:pt>
                <c:pt idx="55">
                  <c:v>0.65049861105524609</c:v>
                </c:pt>
                <c:pt idx="56">
                  <c:v>0.65556951710553757</c:v>
                </c:pt>
                <c:pt idx="57">
                  <c:v>0.66045921865270496</c:v>
                </c:pt>
                <c:pt idx="58">
                  <c:v>0.66516805474990837</c:v>
                </c:pt>
                <c:pt idx="59">
                  <c:v>0.669696608666288</c:v>
                </c:pt>
                <c:pt idx="60">
                  <c:v>0.67404569403901515</c:v>
                </c:pt>
                <c:pt idx="61">
                  <c:v>0.67821634094426808</c:v>
                </c:pt>
                <c:pt idx="62">
                  <c:v>0.68220978197794269</c:v>
                </c:pt>
                <c:pt idx="63">
                  <c:v>0.68602743842753977</c:v>
                </c:pt>
                <c:pt idx="64">
                  <c:v>0.68967090660724051</c:v>
                </c:pt>
                <c:pt idx="65">
                  <c:v>0.69314194441891264</c:v>
                </c:pt>
                <c:pt idx="66">
                  <c:v>0.69644245819280592</c:v>
                </c:pt>
                <c:pt idx="67">
                  <c:v>0.69957448985314363</c:v>
                </c:pt>
                <c:pt idx="68">
                  <c:v>0.70254020444580134</c:v>
                </c:pt>
                <c:pt idx="69">
                  <c:v>0.70534187805785564</c:v>
                </c:pt>
                <c:pt idx="70">
                  <c:v>0.70798188615207691</c:v>
                </c:pt>
                <c:pt idx="71">
                  <c:v>0.71046269233342874</c:v>
                </c:pt>
                <c:pt idx="72">
                  <c:v>0.71278683755935557</c:v>
                </c:pt>
                <c:pt idx="73">
                  <c:v>0.7149569298010835</c:v>
                </c:pt>
                <c:pt idx="74">
                  <c:v>0.71697563415929022</c:v>
                </c:pt>
                <c:pt idx="75">
                  <c:v>0.71884566343429079</c:v>
                </c:pt>
                <c:pt idx="76">
                  <c:v>0.72056976914827009</c:v>
                </c:pt>
                <c:pt idx="77">
                  <c:v>0.72215073301501698</c:v>
                </c:pt>
                <c:pt idx="78">
                  <c:v>0.72359135885101578</c:v>
                </c:pt>
                <c:pt idx="79">
                  <c:v>0.72489446492053755</c:v>
                </c:pt>
                <c:pt idx="80">
                  <c:v>0.72606287670650582</c:v>
                </c:pt>
                <c:pt idx="81">
                  <c:v>0.7270994200982942</c:v>
                </c:pt>
                <c:pt idx="82">
                  <c:v>0.72800691498719128</c:v>
                </c:pt>
                <c:pt idx="83">
                  <c:v>0.72878816926000523</c:v>
                </c:pt>
                <c:pt idx="84">
                  <c:v>0.72944597318108439</c:v>
                </c:pt>
                <c:pt idx="85">
                  <c:v>0.72998309415290497</c:v>
                </c:pt>
                <c:pt idx="86">
                  <c:v>0.73040227184525963</c:v>
                </c:pt>
                <c:pt idx="87">
                  <c:v>0.73070621368295541</c:v>
                </c:pt>
                <c:pt idx="88">
                  <c:v>0.73089759068178539</c:v>
                </c:pt>
                <c:pt idx="89">
                  <c:v>0.73097903362235883</c:v>
                </c:pt>
                <c:pt idx="90">
                  <c:v>0.73105254582476775</c:v>
                </c:pt>
              </c:numCache>
            </c:numRef>
          </c:yVal>
          <c:smooth val="0"/>
          <c:extLst>
            <c:ext xmlns:c16="http://schemas.microsoft.com/office/drawing/2014/chart" uri="{C3380CC4-5D6E-409C-BE32-E72D297353CC}">
              <c16:uniqueId val="{00000001-069E-48F9-87A9-61AA9DA74250}"/>
            </c:ext>
          </c:extLst>
        </c:ser>
        <c:dLbls>
          <c:showLegendKey val="0"/>
          <c:showVal val="0"/>
          <c:showCatName val="0"/>
          <c:showSerName val="0"/>
          <c:showPercent val="0"/>
          <c:showBubbleSize val="0"/>
        </c:dLbls>
        <c:axId val="642188632"/>
        <c:axId val="642193552"/>
      </c:scatterChart>
      <c:valAx>
        <c:axId val="644052448"/>
        <c:scaling>
          <c:orientation val="minMax"/>
          <c:max val="179"/>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Wrap Position (deg.)</a:t>
                </a:r>
              </a:p>
            </c:rich>
          </c:tx>
          <c:layout>
            <c:manualLayout>
              <c:xMode val="edge"/>
              <c:yMode val="edge"/>
              <c:x val="0.44518312817804062"/>
              <c:y val="0.8615274963375437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44052776"/>
        <c:crosses val="autoZero"/>
        <c:crossBetween val="midCat"/>
        <c:majorUnit val="10"/>
      </c:valAx>
      <c:valAx>
        <c:axId val="644052776"/>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strRef>
              <c:f>Analysis!$H$96</c:f>
              <c:strCache>
                <c:ptCount val="1"/>
                <c:pt idx="0">
                  <c:v>Normal Pressure / Shear Stress (kPa)</c:v>
                </c:pt>
              </c:strCache>
            </c:strRef>
          </c:tx>
          <c:layout>
            <c:manualLayout>
              <c:xMode val="edge"/>
              <c:yMode val="edge"/>
              <c:x val="1.4463757466638607E-2"/>
              <c:y val="0.2924361753682812"/>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44052448"/>
        <c:crosses val="autoZero"/>
        <c:crossBetween val="midCat"/>
      </c:valAx>
      <c:valAx>
        <c:axId val="642193552"/>
        <c:scaling>
          <c:orientation val="minMax"/>
          <c:max val="1.1000000000000001"/>
          <c:min val="0"/>
        </c:scaling>
        <c:delete val="0"/>
        <c:axPos val="r"/>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Friction Factor  (u)</a:t>
                </a:r>
              </a:p>
            </c:rich>
          </c:tx>
          <c:layout>
            <c:manualLayout>
              <c:xMode val="edge"/>
              <c:yMode val="edge"/>
              <c:x val="0.96384675420518229"/>
              <c:y val="0.40663851043512184"/>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42188632"/>
        <c:crosses val="max"/>
        <c:crossBetween val="between"/>
        <c:majorUnit val="0.1"/>
        <c:minorUnit val="0.1"/>
      </c:valAx>
      <c:catAx>
        <c:axId val="642188632"/>
        <c:scaling>
          <c:orientation val="minMax"/>
        </c:scaling>
        <c:delete val="1"/>
        <c:axPos val="b"/>
        <c:numFmt formatCode="General" sourceLinked="1"/>
        <c:majorTickMark val="out"/>
        <c:minorTickMark val="none"/>
        <c:tickLblPos val="nextTo"/>
        <c:crossAx val="642193552"/>
        <c:crosses val="autoZero"/>
        <c:auto val="1"/>
        <c:lblAlgn val="ctr"/>
        <c:lblOffset val="100"/>
        <c:noMultiLvlLbl val="1"/>
      </c:catAx>
      <c:spPr>
        <a:noFill/>
        <a:ln>
          <a:noFill/>
        </a:ln>
        <a:effectLst/>
      </c:spPr>
    </c:plotArea>
    <c:legend>
      <c:legendPos val="r"/>
      <c:layout>
        <c:manualLayout>
          <c:xMode val="edge"/>
          <c:yMode val="edge"/>
          <c:x val="5.7553699382349714E-2"/>
          <c:y val="0.90231195686078824"/>
          <c:w val="0.87584299766779505"/>
          <c:h val="8.2961464679982944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Analysis!$V$101</c:f>
          <c:strCache>
            <c:ptCount val="1"/>
            <c:pt idx="0">
              <c:v>Lagging Envelope: Elastotec Medium Double Row 42% Dimpled Ceramic, 12mm (1/2")mm, 65 Duro</c:v>
            </c:pt>
          </c:strCache>
        </c:strRef>
      </c:tx>
      <c:layout>
        <c:manualLayout>
          <c:xMode val="edge"/>
          <c:yMode val="edge"/>
          <c:x val="0.13872054142949372"/>
          <c:y val="1.4660005719286995E-2"/>
        </c:manualLayout>
      </c:layout>
      <c:overlay val="0"/>
      <c:spPr>
        <a:noFill/>
        <a:ln>
          <a:noFill/>
        </a:ln>
        <a:effectLst/>
      </c:spPr>
      <c:txPr>
        <a:bodyPr rot="0" spcFirstLastPara="1" vertOverflow="ellipsis" vert="horz" wrap="square" anchor="ctr" anchorCtr="1"/>
        <a:lstStyle/>
        <a:p>
          <a:pPr algn="ct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4520148763120274E-2"/>
          <c:y val="0.10898805613830177"/>
          <c:w val="0.87019575865773235"/>
          <c:h val="0.65807622763382467"/>
        </c:manualLayout>
      </c:layout>
      <c:areaChart>
        <c:grouping val="stacked"/>
        <c:varyColors val="0"/>
        <c:ser>
          <c:idx val="7"/>
          <c:order val="7"/>
          <c:tx>
            <c:strRef>
              <c:f>Analysis!$P$95</c:f>
              <c:strCache>
                <c:ptCount val="1"/>
                <c:pt idx="0">
                  <c:v>Safe Zone</c:v>
                </c:pt>
              </c:strCache>
            </c:strRef>
          </c:tx>
          <c:spPr>
            <a:solidFill>
              <a:srgbClr val="00B050">
                <a:alpha val="20000"/>
              </a:srgbClr>
            </a:solidFill>
            <a:ln>
              <a:noFill/>
            </a:ln>
            <a:effectLst/>
          </c:spPr>
          <c:cat>
            <c:numRef>
              <c:f>Analysis!$Q$94:$Y$94</c:f>
              <c:numCache>
                <c:formatCode>0</c:formatCode>
                <c:ptCount val="9"/>
                <c:pt idx="0" formatCode="General">
                  <c:v>0</c:v>
                </c:pt>
                <c:pt idx="1">
                  <c:v>100</c:v>
                </c:pt>
                <c:pt idx="2">
                  <c:v>100</c:v>
                </c:pt>
                <c:pt idx="3">
                  <c:v>200</c:v>
                </c:pt>
                <c:pt idx="4">
                  <c:v>300</c:v>
                </c:pt>
                <c:pt idx="5">
                  <c:v>400</c:v>
                </c:pt>
                <c:pt idx="6">
                  <c:v>500</c:v>
                </c:pt>
                <c:pt idx="7">
                  <c:v>600</c:v>
                </c:pt>
                <c:pt idx="8">
                  <c:v>700</c:v>
                </c:pt>
              </c:numCache>
            </c:numRef>
          </c:cat>
          <c:val>
            <c:numRef>
              <c:f>Analysis!$Q$95:$Y$95</c:f>
              <c:numCache>
                <c:formatCode>General</c:formatCode>
                <c:ptCount val="9"/>
                <c:pt idx="0">
                  <c:v>0</c:v>
                </c:pt>
                <c:pt idx="1">
                  <c:v>0</c:v>
                </c:pt>
                <c:pt idx="2" formatCode="0">
                  <c:v>128.30989999999997</c:v>
                </c:pt>
                <c:pt idx="3" formatCode="0">
                  <c:v>222.70989999999995</c:v>
                </c:pt>
                <c:pt idx="4" formatCode="0">
                  <c:v>287.10989999999998</c:v>
                </c:pt>
                <c:pt idx="5" formatCode="0">
                  <c:v>287.07696333009676</c:v>
                </c:pt>
                <c:pt idx="6" formatCode="0">
                  <c:v>282.57127108052123</c:v>
                </c:pt>
                <c:pt idx="7" formatCode="0">
                  <c:v>269.56913058888898</c:v>
                </c:pt>
                <c:pt idx="8" formatCode="0">
                  <c:v>248.97168030511529</c:v>
                </c:pt>
              </c:numCache>
            </c:numRef>
          </c:val>
          <c:extLst>
            <c:ext xmlns:c16="http://schemas.microsoft.com/office/drawing/2014/chart" uri="{C3380CC4-5D6E-409C-BE32-E72D297353CC}">
              <c16:uniqueId val="{00000000-C457-424B-A84B-A1AACEEEDA97}"/>
            </c:ext>
          </c:extLst>
        </c:ser>
        <c:ser>
          <c:idx val="8"/>
          <c:order val="8"/>
          <c:tx>
            <c:strRef>
              <c:f>Analysis!$P$96</c:f>
              <c:strCache>
                <c:ptCount val="1"/>
                <c:pt idx="0">
                  <c:v>Risk Zone</c:v>
                </c:pt>
              </c:strCache>
            </c:strRef>
          </c:tx>
          <c:spPr>
            <a:solidFill>
              <a:srgbClr val="FF0000">
                <a:alpha val="20000"/>
              </a:srgbClr>
            </a:solidFill>
            <a:ln>
              <a:noFill/>
            </a:ln>
            <a:effectLst/>
          </c:spPr>
          <c:cat>
            <c:numRef>
              <c:f>Analysis!$Q$94:$Y$94</c:f>
              <c:numCache>
                <c:formatCode>0</c:formatCode>
                <c:ptCount val="9"/>
                <c:pt idx="0" formatCode="General">
                  <c:v>0</c:v>
                </c:pt>
                <c:pt idx="1">
                  <c:v>100</c:v>
                </c:pt>
                <c:pt idx="2">
                  <c:v>100</c:v>
                </c:pt>
                <c:pt idx="3">
                  <c:v>200</c:v>
                </c:pt>
                <c:pt idx="4">
                  <c:v>300</c:v>
                </c:pt>
                <c:pt idx="5">
                  <c:v>400</c:v>
                </c:pt>
                <c:pt idx="6">
                  <c:v>500</c:v>
                </c:pt>
                <c:pt idx="7">
                  <c:v>600</c:v>
                </c:pt>
                <c:pt idx="8">
                  <c:v>700</c:v>
                </c:pt>
              </c:numCache>
            </c:numRef>
          </c:cat>
          <c:val>
            <c:numRef>
              <c:f>Analysis!$Q$96:$Y$96</c:f>
              <c:numCache>
                <c:formatCode>General</c:formatCode>
                <c:ptCount val="9"/>
                <c:pt idx="0">
                  <c:v>0</c:v>
                </c:pt>
                <c:pt idx="1">
                  <c:v>0</c:v>
                </c:pt>
                <c:pt idx="2" formatCode="0">
                  <c:v>279.69010000000003</c:v>
                </c:pt>
                <c:pt idx="3" formatCode="0">
                  <c:v>185.29010000000005</c:v>
                </c:pt>
                <c:pt idx="4" formatCode="0">
                  <c:v>120.89010000000002</c:v>
                </c:pt>
                <c:pt idx="5" formatCode="0">
                  <c:v>120.92303666990324</c:v>
                </c:pt>
                <c:pt idx="6" formatCode="0">
                  <c:v>125.42872891947877</c:v>
                </c:pt>
                <c:pt idx="7" formatCode="0">
                  <c:v>138.43086941111102</c:v>
                </c:pt>
                <c:pt idx="8" formatCode="0">
                  <c:v>159.02831969488471</c:v>
                </c:pt>
              </c:numCache>
            </c:numRef>
          </c:val>
          <c:extLst>
            <c:ext xmlns:c16="http://schemas.microsoft.com/office/drawing/2014/chart" uri="{C3380CC4-5D6E-409C-BE32-E72D297353CC}">
              <c16:uniqueId val="{00000001-C457-424B-A84B-A1AACEEEDA97}"/>
            </c:ext>
          </c:extLst>
        </c:ser>
        <c:dLbls>
          <c:showLegendKey val="0"/>
          <c:showVal val="0"/>
          <c:showCatName val="0"/>
          <c:showSerName val="0"/>
          <c:showPercent val="0"/>
          <c:showBubbleSize val="0"/>
        </c:dLbls>
        <c:axId val="735256960"/>
        <c:axId val="735259912"/>
      </c:areaChart>
      <c:scatterChart>
        <c:scatterStyle val="lineMarker"/>
        <c:varyColors val="0"/>
        <c:ser>
          <c:idx val="0"/>
          <c:order val="0"/>
          <c:tx>
            <c:strRef>
              <c:f>Analysis!$Y$106</c:f>
              <c:strCache>
                <c:ptCount val="1"/>
                <c:pt idx="0">
                  <c:v>Avail. Driving Shear Stress - Dry Clean</c:v>
                </c:pt>
              </c:strCache>
            </c:strRef>
          </c:tx>
          <c:spPr>
            <a:ln w="19050" cap="rnd">
              <a:solidFill>
                <a:srgbClr val="FF0000"/>
              </a:solidFill>
              <a:prstDash val="dash"/>
              <a:round/>
            </a:ln>
            <a:effectLst/>
          </c:spPr>
          <c:marker>
            <c:symbol val="none"/>
          </c:marker>
          <c:xVal>
            <c:numRef>
              <c:f>Analysis!$Z$104:$AJ$104</c:f>
              <c:numCache>
                <c:formatCode>0</c:formatCode>
                <c:ptCount val="11"/>
                <c:pt idx="0">
                  <c:v>100</c:v>
                </c:pt>
                <c:pt idx="1">
                  <c:v>200</c:v>
                </c:pt>
                <c:pt idx="2">
                  <c:v>300</c:v>
                </c:pt>
                <c:pt idx="3">
                  <c:v>400</c:v>
                </c:pt>
                <c:pt idx="4">
                  <c:v>500</c:v>
                </c:pt>
                <c:pt idx="5">
                  <c:v>600</c:v>
                </c:pt>
                <c:pt idx="6">
                  <c:v>700</c:v>
                </c:pt>
                <c:pt idx="7">
                  <c:v>900</c:v>
                </c:pt>
                <c:pt idx="8">
                  <c:v>1100</c:v>
                </c:pt>
                <c:pt idx="9">
                  <c:v>1300</c:v>
                </c:pt>
                <c:pt idx="10">
                  <c:v>1500</c:v>
                </c:pt>
              </c:numCache>
            </c:numRef>
          </c:xVal>
          <c:yVal>
            <c:numRef>
              <c:f>Analysis!$Z$106:$AJ$106</c:f>
              <c:numCache>
                <c:formatCode>0</c:formatCode>
                <c:ptCount val="11"/>
                <c:pt idx="0">
                  <c:v>128.30989999999997</c:v>
                </c:pt>
                <c:pt idx="1">
                  <c:v>222.70989999999995</c:v>
                </c:pt>
                <c:pt idx="2">
                  <c:v>287.10989999999998</c:v>
                </c:pt>
                <c:pt idx="3">
                  <c:v>321.5098999999999</c:v>
                </c:pt>
                <c:pt idx="4">
                  <c:v>325.90989999999999</c:v>
                </c:pt>
                <c:pt idx="5">
                  <c:v>319</c:v>
                </c:pt>
                <c:pt idx="6">
                  <c:v>319</c:v>
                </c:pt>
                <c:pt idx="7">
                  <c:v>319</c:v>
                </c:pt>
                <c:pt idx="8">
                  <c:v>319</c:v>
                </c:pt>
                <c:pt idx="9">
                  <c:v>319</c:v>
                </c:pt>
                <c:pt idx="10">
                  <c:v>319</c:v>
                </c:pt>
              </c:numCache>
            </c:numRef>
          </c:yVal>
          <c:smooth val="0"/>
          <c:extLst>
            <c:ext xmlns:c16="http://schemas.microsoft.com/office/drawing/2014/chart" uri="{C3380CC4-5D6E-409C-BE32-E72D297353CC}">
              <c16:uniqueId val="{00000000-F4A9-486D-AFFA-699ADBC14F9B}"/>
            </c:ext>
          </c:extLst>
        </c:ser>
        <c:ser>
          <c:idx val="6"/>
          <c:order val="1"/>
          <c:tx>
            <c:strRef>
              <c:f>Analysis!$Y$107</c:f>
              <c:strCache>
                <c:ptCount val="1"/>
                <c:pt idx="0">
                  <c:v>Avail. Driving Shear Stress - </c:v>
                </c:pt>
              </c:strCache>
            </c:strRef>
          </c:tx>
          <c:spPr>
            <a:ln w="19050" cap="rnd">
              <a:solidFill>
                <a:srgbClr val="00B050"/>
              </a:solidFill>
              <a:prstDash val="dash"/>
              <a:round/>
            </a:ln>
            <a:effectLst/>
          </c:spPr>
          <c:marker>
            <c:symbol val="none"/>
          </c:marker>
          <c:xVal>
            <c:numRef>
              <c:f>Analysis!$Z$104:$AJ$104</c:f>
              <c:numCache>
                <c:formatCode>0</c:formatCode>
                <c:ptCount val="11"/>
                <c:pt idx="0">
                  <c:v>100</c:v>
                </c:pt>
                <c:pt idx="1">
                  <c:v>200</c:v>
                </c:pt>
                <c:pt idx="2">
                  <c:v>300</c:v>
                </c:pt>
                <c:pt idx="3">
                  <c:v>400</c:v>
                </c:pt>
                <c:pt idx="4">
                  <c:v>500</c:v>
                </c:pt>
                <c:pt idx="5">
                  <c:v>600</c:v>
                </c:pt>
                <c:pt idx="6">
                  <c:v>700</c:v>
                </c:pt>
                <c:pt idx="7">
                  <c:v>900</c:v>
                </c:pt>
                <c:pt idx="8">
                  <c:v>1100</c:v>
                </c:pt>
                <c:pt idx="9">
                  <c:v>1300</c:v>
                </c:pt>
                <c:pt idx="10">
                  <c:v>1500</c:v>
                </c:pt>
              </c:numCache>
            </c:numRef>
          </c:xVal>
          <c:yVal>
            <c:numRef>
              <c:f>Analysis!$Z$107:$AJ$107</c:f>
              <c:numCache>
                <c:formatCode>0</c:formatCode>
                <c:ptCount val="11"/>
                <c:pt idx="0">
                  <c:v>88.989124193548378</c:v>
                </c:pt>
                <c:pt idx="1">
                  <c:v>154.46009193548386</c:v>
                </c:pt>
                <c:pt idx="2">
                  <c:v>199.12460806451614</c:v>
                </c:pt>
                <c:pt idx="3">
                  <c:v>222.9826725806451</c:v>
                </c:pt>
                <c:pt idx="4">
                  <c:v>226.03428548387097</c:v>
                </c:pt>
                <c:pt idx="5">
                  <c:v>221.24193548387098</c:v>
                </c:pt>
                <c:pt idx="6">
                  <c:v>221.24193548387098</c:v>
                </c:pt>
                <c:pt idx="7">
                  <c:v>221.24193548387098</c:v>
                </c:pt>
                <c:pt idx="8">
                  <c:v>221.24193548387098</c:v>
                </c:pt>
                <c:pt idx="9">
                  <c:v>221.24193548387098</c:v>
                </c:pt>
                <c:pt idx="10">
                  <c:v>221.24193548387098</c:v>
                </c:pt>
              </c:numCache>
            </c:numRef>
          </c:yVal>
          <c:smooth val="0"/>
          <c:extLst>
            <c:ext xmlns:c16="http://schemas.microsoft.com/office/drawing/2014/chart" uri="{C3380CC4-5D6E-409C-BE32-E72D297353CC}">
              <c16:uniqueId val="{00000001-BDD8-4220-BEBD-00FE1FEF5D02}"/>
            </c:ext>
          </c:extLst>
        </c:ser>
        <c:ser>
          <c:idx val="1"/>
          <c:order val="2"/>
          <c:tx>
            <c:strRef>
              <c:f>Analysis!$Y$108</c:f>
              <c:strCache>
                <c:ptCount val="1"/>
                <c:pt idx="0">
                  <c:v>Contact Face Limit</c:v>
                </c:pt>
              </c:strCache>
            </c:strRef>
          </c:tx>
          <c:spPr>
            <a:ln w="19050" cap="rnd">
              <a:solidFill>
                <a:srgbClr val="0070C0"/>
              </a:solidFill>
              <a:round/>
            </a:ln>
            <a:effectLst/>
          </c:spPr>
          <c:marker>
            <c:symbol val="circle"/>
            <c:size val="5"/>
            <c:spPr>
              <a:solidFill>
                <a:schemeClr val="accent1"/>
              </a:solidFill>
              <a:ln w="9525">
                <a:solidFill>
                  <a:srgbClr val="0070C0"/>
                </a:solidFill>
              </a:ln>
              <a:effectLst/>
            </c:spPr>
          </c:marker>
          <c:xVal>
            <c:numRef>
              <c:f>Analysis!$Z$104:$AJ$104</c:f>
              <c:numCache>
                <c:formatCode>0</c:formatCode>
                <c:ptCount val="11"/>
                <c:pt idx="0">
                  <c:v>100</c:v>
                </c:pt>
                <c:pt idx="1">
                  <c:v>200</c:v>
                </c:pt>
                <c:pt idx="2">
                  <c:v>300</c:v>
                </c:pt>
                <c:pt idx="3">
                  <c:v>400</c:v>
                </c:pt>
                <c:pt idx="4">
                  <c:v>500</c:v>
                </c:pt>
                <c:pt idx="5">
                  <c:v>600</c:v>
                </c:pt>
                <c:pt idx="6">
                  <c:v>700</c:v>
                </c:pt>
                <c:pt idx="7">
                  <c:v>900</c:v>
                </c:pt>
                <c:pt idx="8">
                  <c:v>1100</c:v>
                </c:pt>
                <c:pt idx="9">
                  <c:v>1300</c:v>
                </c:pt>
                <c:pt idx="10">
                  <c:v>1500</c:v>
                </c:pt>
              </c:numCache>
            </c:numRef>
          </c:xVal>
          <c:yVal>
            <c:numRef>
              <c:f>Analysis!$Z$108:$AJ$108</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0"/>
          <c:extLst>
            <c:ext xmlns:c16="http://schemas.microsoft.com/office/drawing/2014/chart" uri="{C3380CC4-5D6E-409C-BE32-E72D297353CC}">
              <c16:uniqueId val="{00000002-F4A9-486D-AFFA-699ADBC14F9B}"/>
            </c:ext>
          </c:extLst>
        </c:ser>
        <c:ser>
          <c:idx val="2"/>
          <c:order val="3"/>
          <c:tx>
            <c:strRef>
              <c:f>Analysis!$Y$109</c:f>
              <c:strCache>
                <c:ptCount val="1"/>
                <c:pt idx="0">
                  <c:v>Tread Root Limit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Analysis!$Z$104:$AJ$104</c:f>
              <c:numCache>
                <c:formatCode>0</c:formatCode>
                <c:ptCount val="11"/>
                <c:pt idx="0">
                  <c:v>100</c:v>
                </c:pt>
                <c:pt idx="1">
                  <c:v>200</c:v>
                </c:pt>
                <c:pt idx="2">
                  <c:v>300</c:v>
                </c:pt>
                <c:pt idx="3">
                  <c:v>400</c:v>
                </c:pt>
                <c:pt idx="4">
                  <c:v>500</c:v>
                </c:pt>
                <c:pt idx="5">
                  <c:v>600</c:v>
                </c:pt>
                <c:pt idx="6">
                  <c:v>700</c:v>
                </c:pt>
                <c:pt idx="7">
                  <c:v>900</c:v>
                </c:pt>
                <c:pt idx="8">
                  <c:v>1100</c:v>
                </c:pt>
                <c:pt idx="9">
                  <c:v>1300</c:v>
                </c:pt>
                <c:pt idx="10">
                  <c:v>1500</c:v>
                </c:pt>
              </c:numCache>
            </c:numRef>
          </c:xVal>
          <c:yVal>
            <c:numRef>
              <c:f>Analysis!$Z$109:$AJ$109</c:f>
              <c:numCache>
                <c:formatCode>0</c:formatCode>
                <c:ptCount val="11"/>
                <c:pt idx="0">
                  <c:v>357.31837541441553</c:v>
                </c:pt>
                <c:pt idx="1">
                  <c:v>351.31526140261616</c:v>
                </c:pt>
                <c:pt idx="2">
                  <c:v>340.11539781081416</c:v>
                </c:pt>
                <c:pt idx="3">
                  <c:v>324.15237384088948</c:v>
                </c:pt>
                <c:pt idx="4">
                  <c:v>314.75478714891767</c:v>
                </c:pt>
                <c:pt idx="5">
                  <c:v>305.09973232839872</c:v>
                </c:pt>
                <c:pt idx="6">
                  <c:v>288.62177210137975</c:v>
                </c:pt>
                <c:pt idx="7">
                  <c:v>260.94394828255878</c:v>
                </c:pt>
                <c:pt idx="8">
                  <c:v>235.96953981348307</c:v>
                </c:pt>
                <c:pt idx="9">
                  <c:v>235.58333762066235</c:v>
                </c:pt>
                <c:pt idx="10">
                  <c:v>208.80665225175645</c:v>
                </c:pt>
              </c:numCache>
            </c:numRef>
          </c:yVal>
          <c:smooth val="0"/>
          <c:extLst>
            <c:ext xmlns:c16="http://schemas.microsoft.com/office/drawing/2014/chart" uri="{C3380CC4-5D6E-409C-BE32-E72D297353CC}">
              <c16:uniqueId val="{00000003-F4A9-486D-AFFA-699ADBC14F9B}"/>
            </c:ext>
          </c:extLst>
        </c:ser>
        <c:ser>
          <c:idx val="3"/>
          <c:order val="4"/>
          <c:tx>
            <c:strRef>
              <c:f>Analysis!$Y$110</c:f>
              <c:strCache>
                <c:ptCount val="1"/>
                <c:pt idx="0">
                  <c:v>Pulley Shell Limit</c:v>
                </c:pt>
              </c:strCache>
            </c:strRef>
          </c:tx>
          <c:spPr>
            <a:ln w="19050" cap="rnd">
              <a:solidFill>
                <a:schemeClr val="accent4"/>
              </a:solidFill>
              <a:round/>
            </a:ln>
            <a:effectLst/>
          </c:spPr>
          <c:marker>
            <c:symbol val="square"/>
            <c:size val="5"/>
            <c:spPr>
              <a:solidFill>
                <a:schemeClr val="accent4"/>
              </a:solidFill>
              <a:ln w="9525">
                <a:solidFill>
                  <a:schemeClr val="accent4"/>
                </a:solidFill>
              </a:ln>
              <a:effectLst/>
            </c:spPr>
          </c:marker>
          <c:xVal>
            <c:numRef>
              <c:f>Analysis!$Z$104:$AJ$104</c:f>
              <c:numCache>
                <c:formatCode>0</c:formatCode>
                <c:ptCount val="11"/>
                <c:pt idx="0">
                  <c:v>100</c:v>
                </c:pt>
                <c:pt idx="1">
                  <c:v>200</c:v>
                </c:pt>
                <c:pt idx="2">
                  <c:v>300</c:v>
                </c:pt>
                <c:pt idx="3">
                  <c:v>400</c:v>
                </c:pt>
                <c:pt idx="4">
                  <c:v>500</c:v>
                </c:pt>
                <c:pt idx="5">
                  <c:v>600</c:v>
                </c:pt>
                <c:pt idx="6">
                  <c:v>700</c:v>
                </c:pt>
                <c:pt idx="7">
                  <c:v>900</c:v>
                </c:pt>
                <c:pt idx="8">
                  <c:v>1100</c:v>
                </c:pt>
                <c:pt idx="9">
                  <c:v>1300</c:v>
                </c:pt>
                <c:pt idx="10">
                  <c:v>1500</c:v>
                </c:pt>
              </c:numCache>
            </c:numRef>
          </c:xVal>
          <c:yVal>
            <c:numRef>
              <c:f>Analysis!$Z$110:$AJ$110</c:f>
              <c:numCache>
                <c:formatCode>0</c:formatCode>
                <c:ptCount val="11"/>
                <c:pt idx="0">
                  <c:v>357.31837541441553</c:v>
                </c:pt>
                <c:pt idx="1">
                  <c:v>357.75196461629542</c:v>
                </c:pt>
                <c:pt idx="2">
                  <c:v>350.92905920979535</c:v>
                </c:pt>
                <c:pt idx="3">
                  <c:v>356.59335803783318</c:v>
                </c:pt>
                <c:pt idx="4">
                  <c:v>349.89918669560666</c:v>
                </c:pt>
                <c:pt idx="5">
                  <c:v>353.63247455954064</c:v>
                </c:pt>
                <c:pt idx="6">
                  <c:v>345.52222851030473</c:v>
                </c:pt>
                <c:pt idx="7">
                  <c:v>307.15947735677611</c:v>
                </c:pt>
                <c:pt idx="8">
                  <c:v>265.06343833931351</c:v>
                </c:pt>
                <c:pt idx="9">
                  <c:v>209.45032257312437</c:v>
                </c:pt>
                <c:pt idx="10">
                  <c:v>160.91758034198247</c:v>
                </c:pt>
              </c:numCache>
            </c:numRef>
          </c:yVal>
          <c:smooth val="0"/>
          <c:extLst>
            <c:ext xmlns:c16="http://schemas.microsoft.com/office/drawing/2014/chart" uri="{C3380CC4-5D6E-409C-BE32-E72D297353CC}">
              <c16:uniqueId val="{00000004-F4A9-486D-AFFA-699ADBC14F9B}"/>
            </c:ext>
          </c:extLst>
        </c:ser>
        <c:ser>
          <c:idx val="4"/>
          <c:order val="5"/>
          <c:tx>
            <c:strRef>
              <c:f>Analysis!$Y$111</c:f>
              <c:strCache>
                <c:ptCount val="1"/>
                <c:pt idx="0">
                  <c:v>Tile Bond Limit</c:v>
                </c:pt>
              </c:strCache>
            </c:strRef>
          </c:tx>
          <c:spPr>
            <a:ln w="19050" cap="rnd">
              <a:solidFill>
                <a:srgbClr val="7030A0"/>
              </a:solidFill>
              <a:round/>
            </a:ln>
            <a:effectLst/>
          </c:spPr>
          <c:marker>
            <c:symbol val="circle"/>
            <c:size val="5"/>
            <c:spPr>
              <a:solidFill>
                <a:srgbClr val="7030A0"/>
              </a:solidFill>
              <a:ln w="9525">
                <a:solidFill>
                  <a:srgbClr val="7030A0"/>
                </a:solidFill>
              </a:ln>
              <a:effectLst/>
            </c:spPr>
          </c:marker>
          <c:xVal>
            <c:numRef>
              <c:f>Analysis!$Z$104:$AJ$104</c:f>
              <c:numCache>
                <c:formatCode>0</c:formatCode>
                <c:ptCount val="11"/>
                <c:pt idx="0">
                  <c:v>100</c:v>
                </c:pt>
                <c:pt idx="1">
                  <c:v>200</c:v>
                </c:pt>
                <c:pt idx="2">
                  <c:v>300</c:v>
                </c:pt>
                <c:pt idx="3">
                  <c:v>400</c:v>
                </c:pt>
                <c:pt idx="4">
                  <c:v>500</c:v>
                </c:pt>
                <c:pt idx="5">
                  <c:v>600</c:v>
                </c:pt>
                <c:pt idx="6">
                  <c:v>700</c:v>
                </c:pt>
                <c:pt idx="7">
                  <c:v>900</c:v>
                </c:pt>
                <c:pt idx="8">
                  <c:v>1100</c:v>
                </c:pt>
                <c:pt idx="9">
                  <c:v>1300</c:v>
                </c:pt>
                <c:pt idx="10">
                  <c:v>1500</c:v>
                </c:pt>
              </c:numCache>
            </c:numRef>
          </c:xVal>
          <c:yVal>
            <c:numRef>
              <c:f>Analysis!$Z$111:$AJ$111</c:f>
              <c:numCache>
                <c:formatCode>0</c:formatCode>
                <c:ptCount val="11"/>
                <c:pt idx="0">
                  <c:v>323.53182415746505</c:v>
                </c:pt>
                <c:pt idx="1">
                  <c:v>321.44895849114414</c:v>
                </c:pt>
                <c:pt idx="2">
                  <c:v>306.00087077831387</c:v>
                </c:pt>
                <c:pt idx="3">
                  <c:v>287.07696333009676</c:v>
                </c:pt>
                <c:pt idx="4">
                  <c:v>282.57127108052123</c:v>
                </c:pt>
                <c:pt idx="5">
                  <c:v>269.56913058888898</c:v>
                </c:pt>
                <c:pt idx="6">
                  <c:v>248.97168030511529</c:v>
                </c:pt>
                <c:pt idx="7">
                  <c:v>225.41334654304904</c:v>
                </c:pt>
                <c:pt idx="8">
                  <c:v>197.73552272422805</c:v>
                </c:pt>
                <c:pt idx="9">
                  <c:v>158.21416499223716</c:v>
                </c:pt>
                <c:pt idx="10">
                  <c:v>132.59608620179355</c:v>
                </c:pt>
              </c:numCache>
            </c:numRef>
          </c:yVal>
          <c:smooth val="0"/>
          <c:extLst>
            <c:ext xmlns:c16="http://schemas.microsoft.com/office/drawing/2014/chart" uri="{C3380CC4-5D6E-409C-BE32-E72D297353CC}">
              <c16:uniqueId val="{00000005-F4A9-486D-AFFA-699ADBC14F9B}"/>
            </c:ext>
          </c:extLst>
        </c:ser>
        <c:ser>
          <c:idx val="5"/>
          <c:order val="6"/>
          <c:tx>
            <c:v>Application Duty</c:v>
          </c:tx>
          <c:spPr>
            <a:ln w="25400" cap="rnd">
              <a:solidFill>
                <a:schemeClr val="tx1"/>
              </a:solidFill>
              <a:round/>
            </a:ln>
            <a:effectLst/>
          </c:spPr>
          <c:marker>
            <c:symbol val="circle"/>
            <c:size val="5"/>
            <c:spPr>
              <a:solidFill>
                <a:schemeClr val="tx1"/>
              </a:solidFill>
              <a:ln w="9525">
                <a:solidFill>
                  <a:schemeClr val="tx1"/>
                </a:solidFill>
              </a:ln>
              <a:effectLst/>
            </c:spPr>
          </c:marker>
          <c:xVal>
            <c:numRef>
              <c:f>Analysis!$BB$106:$BB$196</c:f>
              <c:numCache>
                <c:formatCode>0</c:formatCode>
                <c:ptCount val="91"/>
                <c:pt idx="0">
                  <c:v>583.85160887019458</c:v>
                </c:pt>
                <c:pt idx="1">
                  <c:v>580.6153870565239</c:v>
                </c:pt>
                <c:pt idx="2">
                  <c:v>577.32504638887644</c:v>
                </c:pt>
                <c:pt idx="3">
                  <c:v>573.97968203459322</c:v>
                </c:pt>
                <c:pt idx="4">
                  <c:v>570.57837403279143</c:v>
                </c:pt>
                <c:pt idx="5">
                  <c:v>567.12018704142997</c:v>
                </c:pt>
                <c:pt idx="6">
                  <c:v>563.60417008014633</c:v>
                </c:pt>
                <c:pt idx="7">
                  <c:v>560.02935626879423</c:v>
                </c:pt>
                <c:pt idx="8">
                  <c:v>556.39476256160913</c:v>
                </c:pt>
                <c:pt idx="9">
                  <c:v>552.69938947692924</c:v>
                </c:pt>
                <c:pt idx="10">
                  <c:v>548.94222082239799</c:v>
                </c:pt>
                <c:pt idx="11">
                  <c:v>545.12222341557208</c:v>
                </c:pt>
                <c:pt idx="12">
                  <c:v>541.23834679985805</c:v>
                </c:pt>
                <c:pt idx="13">
                  <c:v>537.28952295569889</c:v>
                </c:pt>
                <c:pt idx="14">
                  <c:v>533.27466600693344</c:v>
                </c:pt>
                <c:pt idx="15">
                  <c:v>529.19267192224493</c:v>
                </c:pt>
                <c:pt idx="16">
                  <c:v>525.04241821161816</c:v>
                </c:pt>
                <c:pt idx="17">
                  <c:v>520.82276361772233</c:v>
                </c:pt>
                <c:pt idx="18">
                  <c:v>516.53254780213297</c:v>
                </c:pt>
                <c:pt idx="19">
                  <c:v>512.17059102630913</c:v>
                </c:pt>
                <c:pt idx="20">
                  <c:v>507.73569382723463</c:v>
                </c:pt>
                <c:pt idx="21">
                  <c:v>503.2266366876384</c:v>
                </c:pt>
                <c:pt idx="22">
                  <c:v>498.64217970069961</c:v>
                </c:pt>
                <c:pt idx="23">
                  <c:v>493.98106222914799</c:v>
                </c:pt>
                <c:pt idx="24">
                  <c:v>489.24200255866322</c:v>
                </c:pt>
                <c:pt idx="25">
                  <c:v>484.42369754548071</c:v>
                </c:pt>
                <c:pt idx="26">
                  <c:v>479.52482225810468</c:v>
                </c:pt>
                <c:pt idx="27">
                  <c:v>474.54402961303134</c:v>
                </c:pt>
                <c:pt idx="28">
                  <c:v>469.47995000438152</c:v>
                </c:pt>
                <c:pt idx="29">
                  <c:v>464.33119092734069</c:v>
                </c:pt>
                <c:pt idx="30">
                  <c:v>459.09633659530368</c:v>
                </c:pt>
                <c:pt idx="31">
                  <c:v>453.77394755061789</c:v>
                </c:pt>
                <c:pt idx="32">
                  <c:v>448.3625602688187</c:v>
                </c:pt>
                <c:pt idx="33">
                  <c:v>442.86068675624711</c:v>
                </c:pt>
                <c:pt idx="34">
                  <c:v>437.26681414094139</c:v>
                </c:pt>
                <c:pt idx="35">
                  <c:v>431.57940425668704</c:v>
                </c:pt>
                <c:pt idx="36">
                  <c:v>425.79689322011313</c:v>
                </c:pt>
                <c:pt idx="37">
                  <c:v>419.91769100071838</c:v>
                </c:pt>
                <c:pt idx="38">
                  <c:v>413.94018098370719</c:v>
                </c:pt>
                <c:pt idx="39">
                  <c:v>407.8627195255176</c:v>
                </c:pt>
                <c:pt idx="40">
                  <c:v>401.68363550191759</c:v>
                </c:pt>
                <c:pt idx="41">
                  <c:v>395.40122984854565</c:v>
                </c:pt>
                <c:pt idx="42">
                  <c:v>389.01377509376977</c:v>
                </c:pt>
                <c:pt idx="43">
                  <c:v>382.51951488373606</c:v>
                </c:pt>
                <c:pt idx="44">
                  <c:v>375.9166634994765</c:v>
                </c:pt>
                <c:pt idx="45">
                  <c:v>369.30825300819453</c:v>
                </c:pt>
                <c:pt idx="46">
                  <c:v>362.86005951546434</c:v>
                </c:pt>
                <c:pt idx="47">
                  <c:v>356.57493089357058</c:v>
                </c:pt>
                <c:pt idx="48">
                  <c:v>350.45536019940346</c:v>
                </c:pt>
                <c:pt idx="49">
                  <c:v>344.50349064982566</c:v>
                </c:pt>
                <c:pt idx="50">
                  <c:v>338.72112212207827</c:v>
                </c:pt>
                <c:pt idx="51">
                  <c:v>333.10971905516845</c:v>
                </c:pt>
                <c:pt idx="52">
                  <c:v>327.67041962274163</c:v>
                </c:pt>
                <c:pt idx="53">
                  <c:v>322.40404604438839</c:v>
                </c:pt>
                <c:pt idx="54">
                  <c:v>317.31111590059498</c:v>
                </c:pt>
                <c:pt idx="55">
                  <c:v>312.39185431648218</c:v>
                </c:pt>
                <c:pt idx="56">
                  <c:v>307.64620688096926</c:v>
                </c:pt>
                <c:pt idx="57">
                  <c:v>303.0738531708846</c:v>
                </c:pt>
                <c:pt idx="58">
                  <c:v>298.67422075366915</c:v>
                </c:pt>
                <c:pt idx="59">
                  <c:v>294.44649954751191</c:v>
                </c:pt>
                <c:pt idx="60">
                  <c:v>290.38965642385267</c:v>
                </c:pt>
                <c:pt idx="61">
                  <c:v>286.50244994401697</c:v>
                </c:pt>
                <c:pt idx="62">
                  <c:v>282.78344512915299</c:v>
                </c:pt>
                <c:pt idx="63">
                  <c:v>279.23102817046077</c:v>
                </c:pt>
                <c:pt idx="64">
                  <c:v>275.84342099480415</c:v>
                </c:pt>
                <c:pt idx="65">
                  <c:v>272.61869560903278</c:v>
                </c:pt>
                <c:pt idx="66">
                  <c:v>269.55478815460202</c:v>
                </c:pt>
                <c:pt idx="67">
                  <c:v>266.64951261225139</c:v>
                </c:pt>
                <c:pt idx="68">
                  <c:v>263.90057410449475</c:v>
                </c:pt>
                <c:pt idx="69">
                  <c:v>261.3055817514084</c:v>
                </c:pt>
                <c:pt idx="70">
                  <c:v>258.86206104260646</c:v>
                </c:pt>
                <c:pt idx="71">
                  <c:v>256.56746569531765</c:v>
                </c:pt>
                <c:pt idx="72">
                  <c:v>254.41918897507702</c:v>
                </c:pt>
                <c:pt idx="73">
                  <c:v>252.41457446169289</c:v>
                </c:pt>
                <c:pt idx="74">
                  <c:v>250.55092624882144</c:v>
                </c:pt>
                <c:pt idx="75">
                  <c:v>248.825518570669</c:v>
                </c:pt>
                <c:pt idx="76">
                  <c:v>247.23560485404076</c:v>
                </c:pt>
                <c:pt idx="77">
                  <c:v>245.77842619817056</c:v>
                </c:pt>
                <c:pt idx="78">
                  <c:v>244.45121928850872</c:v>
                </c:pt>
                <c:pt idx="79">
                  <c:v>243.25122375392797</c:v>
                </c:pt>
                <c:pt idx="80">
                  <c:v>242.17568897965361</c:v>
                </c:pt>
                <c:pt idx="81">
                  <c:v>241.22188039065296</c:v>
                </c:pt>
                <c:pt idx="82">
                  <c:v>240.38708522225659</c:v>
                </c:pt>
                <c:pt idx="83">
                  <c:v>239.66861779645848</c:v>
                </c:pt>
                <c:pt idx="84">
                  <c:v>239.06382432367823</c:v>
                </c:pt>
                <c:pt idx="85">
                  <c:v>238.57008725079788</c:v>
                </c:pt>
                <c:pt idx="86">
                  <c:v>238.18482917703258</c:v>
                </c:pt>
                <c:pt idx="87">
                  <c:v>237.90551635969132</c:v>
                </c:pt>
                <c:pt idx="88">
                  <c:v>237.72966183215203</c:v>
                </c:pt>
                <c:pt idx="89">
                  <c:v>237.65482815644634</c:v>
                </c:pt>
                <c:pt idx="90">
                  <c:v>237.5872834080505</c:v>
                </c:pt>
              </c:numCache>
            </c:numRef>
          </c:xVal>
          <c:yVal>
            <c:numRef>
              <c:f>Analysis!$BA$106:$BA$196</c:f>
              <c:numCache>
                <c:formatCode>0</c:formatCode>
                <c:ptCount val="91"/>
                <c:pt idx="0">
                  <c:v>96.03884682817359</c:v>
                </c:pt>
                <c:pt idx="1">
                  <c:v>100.38842389601227</c:v>
                </c:pt>
                <c:pt idx="2">
                  <c:v>104.76406732322202</c:v>
                </c:pt>
                <c:pt idx="3">
                  <c:v>109.16621292267631</c:v>
                </c:pt>
                <c:pt idx="4">
                  <c:v>113.59530379376136</c:v>
                </c:pt>
                <c:pt idx="5">
                  <c:v>118.05179044420207</c:v>
                </c:pt>
                <c:pt idx="6">
                  <c:v>122.53613091392458</c:v>
                </c:pt>
                <c:pt idx="7">
                  <c:v>127.04879090098999</c:v>
                </c:pt>
                <c:pt idx="8">
                  <c:v>131.59024388963337</c:v>
                </c:pt>
                <c:pt idx="9">
                  <c:v>136.16097128044368</c:v>
                </c:pt>
                <c:pt idx="10">
                  <c:v>140.76146252272019</c:v>
                </c:pt>
                <c:pt idx="11">
                  <c:v>145.39221524904161</c:v>
                </c:pt>
                <c:pt idx="12">
                  <c:v>150.05373541208553</c:v>
                </c:pt>
                <c:pt idx="13">
                  <c:v>154.74653742373491</c:v>
                </c:pt>
                <c:pt idx="14">
                  <c:v>159.47114429651074</c:v>
                </c:pt>
                <c:pt idx="15">
                  <c:v>164.22808778736925</c:v>
                </c:pt>
                <c:pt idx="16">
                  <c:v>169.01790854390316</c:v>
                </c:pt>
                <c:pt idx="17">
                  <c:v>173.84115625298742</c:v>
                </c:pt>
                <c:pt idx="18">
                  <c:v>178.69838979191044</c:v>
                </c:pt>
                <c:pt idx="19">
                  <c:v>183.5901773820317</c:v>
                </c:pt>
                <c:pt idx="20">
                  <c:v>188.51709674500879</c:v>
                </c:pt>
                <c:pt idx="21">
                  <c:v>193.47973526163622</c:v>
                </c:pt>
                <c:pt idx="22">
                  <c:v>198.47869013334017</c:v>
                </c:pt>
                <c:pt idx="23">
                  <c:v>203.51456854637297</c:v>
                </c:pt>
                <c:pt idx="24">
                  <c:v>208.58798783875324</c:v>
                </c:pt>
                <c:pt idx="25">
                  <c:v>213.69957566999665</c:v>
                </c:pt>
                <c:pt idx="26">
                  <c:v>218.84997019368518</c:v>
                </c:pt>
                <c:pt idx="27">
                  <c:v>224.0398202329207</c:v>
                </c:pt>
                <c:pt idx="28">
                  <c:v>229.2697854587129</c:v>
                </c:pt>
                <c:pt idx="29">
                  <c:v>234.54053657134926</c:v>
                </c:pt>
                <c:pt idx="30">
                  <c:v>239.85275548479746</c:v>
                </c:pt>
                <c:pt idx="31">
                  <c:v>245.20713551419107</c:v>
                </c:pt>
                <c:pt idx="32">
                  <c:v>250.60438156644966</c:v>
                </c:pt>
                <c:pt idx="33">
                  <c:v>256.04521033408605</c:v>
                </c:pt>
                <c:pt idx="34">
                  <c:v>261.53035049225406</c:v>
                </c:pt>
                <c:pt idx="35">
                  <c:v>267.06054289909036</c:v>
                </c:pt>
                <c:pt idx="36">
                  <c:v>272.63654079940642</c:v>
                </c:pt>
                <c:pt idx="37">
                  <c:v>278.25911003178555</c:v>
                </c:pt>
                <c:pt idx="38">
                  <c:v>283.92902923914284</c:v>
                </c:pt>
                <c:pt idx="39">
                  <c:v>289.64709008280556</c:v>
                </c:pt>
                <c:pt idx="40">
                  <c:v>295.4140974601724</c:v>
                </c:pt>
                <c:pt idx="41">
                  <c:v>301.2308697260122</c:v>
                </c:pt>
                <c:pt idx="42">
                  <c:v>307.09823891746282</c:v>
                </c:pt>
                <c:pt idx="43">
                  <c:v>313.01705098279126</c:v>
                </c:pt>
                <c:pt idx="44">
                  <c:v>315.96772207340223</c:v>
                </c:pt>
                <c:pt idx="45">
                  <c:v>314.14272608347625</c:v>
                </c:pt>
                <c:pt idx="46">
                  <c:v>312.23568877720777</c:v>
                </c:pt>
                <c:pt idx="47">
                  <c:v>310.25683165300541</c:v>
                </c:pt>
                <c:pt idx="48">
                  <c:v>308.21623287922796</c:v>
                </c:pt>
                <c:pt idx="49">
                  <c:v>306.12378336098516</c:v>
                </c:pt>
                <c:pt idx="50">
                  <c:v>303.98914638071727</c:v>
                </c:pt>
                <c:pt idx="51">
                  <c:v>301.8217209693849</c:v>
                </c:pt>
                <c:pt idx="52">
                  <c:v>299.63060911048643</c:v>
                </c:pt>
                <c:pt idx="53">
                  <c:v>297.42458682718927</c:v>
                </c:pt>
                <c:pt idx="54">
                  <c:v>295.21207915430807</c:v>
                </c:pt>
                <c:pt idx="55">
                  <c:v>293.00113895224081</c:v>
                </c:pt>
                <c:pt idx="56">
                  <c:v>290.79942947969892</c:v>
                </c:pt>
                <c:pt idx="57">
                  <c:v>288.61421060644273</c:v>
                </c:pt>
                <c:pt idx="58">
                  <c:v>286.45232851639753</c:v>
                </c:pt>
                <c:pt idx="59">
                  <c:v>284.32020872555722</c:v>
                </c:pt>
                <c:pt idx="60">
                  <c:v>282.2238522179058</c:v>
                </c:pt>
                <c:pt idx="61">
                  <c:v>280.16883448607371</c:v>
                </c:pt>
                <c:pt idx="62">
                  <c:v>278.16030725137023</c:v>
                </c:pt>
                <c:pt idx="63">
                  <c:v>276.20300262992328</c:v>
                </c:pt>
                <c:pt idx="64">
                  <c:v>274.30123950758178</c:v>
                </c:pt>
                <c:pt idx="65">
                  <c:v>272.45893188563593</c:v>
                </c:pt>
                <c:pt idx="66">
                  <c:v>270.67959896190666</c:v>
                </c:pt>
                <c:pt idx="67">
                  <c:v>268.96637671695157</c:v>
                </c:pt>
                <c:pt idx="68">
                  <c:v>267.32203078264274</c:v>
                </c:pt>
                <c:pt idx="69">
                  <c:v>265.74897037980031</c:v>
                </c:pt>
                <c:pt idx="70">
                  <c:v>264.24926312255423</c:v>
                </c:pt>
                <c:pt idx="71">
                  <c:v>262.82465049929579</c:v>
                </c:pt>
                <c:pt idx="72">
                  <c:v>261.47656385315338</c:v>
                </c:pt>
                <c:pt idx="73">
                  <c:v>260.20614069858357</c:v>
                </c:pt>
                <c:pt idx="74">
                  <c:v>259.01424122464351</c:v>
                </c:pt>
                <c:pt idx="75">
                  <c:v>257.90146484956904</c:v>
                </c:pt>
                <c:pt idx="76">
                  <c:v>256.86816670521773</c:v>
                </c:pt>
                <c:pt idx="77">
                  <c:v>255.91447394357533</c:v>
                </c:pt>
                <c:pt idx="78">
                  <c:v>255.04030177072326</c:v>
                </c:pt>
                <c:pt idx="79">
                  <c:v>254.24536912630029</c:v>
                </c:pt>
                <c:pt idx="80">
                  <c:v>253.5292139384822</c:v>
                </c:pt>
                <c:pt idx="81">
                  <c:v>252.89120789576648</c:v>
                </c:pt>
                <c:pt idx="82">
                  <c:v>252.33057068734695</c:v>
                </c:pt>
                <c:pt idx="83">
                  <c:v>251.84638367356573</c:v>
                </c:pt>
                <c:pt idx="84">
                  <c:v>251.43760295681369</c:v>
                </c:pt>
                <c:pt idx="85">
                  <c:v>251.10307183133227</c:v>
                </c:pt>
                <c:pt idx="86">
                  <c:v>250.84153259764511</c:v>
                </c:pt>
                <c:pt idx="87">
                  <c:v>250.65163773385262</c:v>
                </c:pt>
                <c:pt idx="88">
                  <c:v>250.53196042177586</c:v>
                </c:pt>
                <c:pt idx="89">
                  <c:v>250.4810044309811</c:v>
                </c:pt>
                <c:pt idx="90">
                  <c:v>250.43499721499643</c:v>
                </c:pt>
              </c:numCache>
            </c:numRef>
          </c:yVal>
          <c:smooth val="0"/>
          <c:extLst>
            <c:ext xmlns:c16="http://schemas.microsoft.com/office/drawing/2014/chart" uri="{C3380CC4-5D6E-409C-BE32-E72D297353CC}">
              <c16:uniqueId val="{00000006-F4A9-486D-AFFA-699ADBC14F9B}"/>
            </c:ext>
          </c:extLst>
        </c:ser>
        <c:dLbls>
          <c:showLegendKey val="0"/>
          <c:showVal val="0"/>
          <c:showCatName val="0"/>
          <c:showSerName val="0"/>
          <c:showPercent val="0"/>
          <c:showBubbleSize val="0"/>
        </c:dLbls>
        <c:axId val="610543536"/>
        <c:axId val="610536976"/>
      </c:scatterChart>
      <c:valAx>
        <c:axId val="610543536"/>
        <c:scaling>
          <c:orientation val="minMax"/>
          <c:max val="700"/>
          <c:min val="0"/>
        </c:scaling>
        <c:delete val="0"/>
        <c:axPos val="b"/>
        <c:majorGridlines>
          <c:spPr>
            <a:ln w="9525" cap="flat" cmpd="sng" algn="ctr">
              <a:solidFill>
                <a:schemeClr val="tx1">
                  <a:lumMod val="15000"/>
                  <a:lumOff val="85000"/>
                </a:schemeClr>
              </a:solidFill>
              <a:round/>
            </a:ln>
            <a:effectLst/>
          </c:spPr>
        </c:majorGridlines>
        <c:title>
          <c:tx>
            <c:strRef>
              <c:f>Analysis!$AA$97</c:f>
              <c:strCache>
                <c:ptCount val="1"/>
                <c:pt idx="0">
                  <c:v>Average Normal Pressure (kPa)</c:v>
                </c:pt>
              </c:strCache>
            </c:strRef>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10536976"/>
        <c:crosses val="autoZero"/>
        <c:crossBetween val="midCat"/>
        <c:majorUnit val="100"/>
        <c:minorUnit val="10"/>
      </c:valAx>
      <c:valAx>
        <c:axId val="610536976"/>
        <c:scaling>
          <c:orientation val="minMax"/>
          <c:max val="408"/>
          <c:min val="0"/>
        </c:scaling>
        <c:delete val="0"/>
        <c:axPos val="l"/>
        <c:majorGridlines>
          <c:spPr>
            <a:ln w="9525" cap="flat" cmpd="sng" algn="ctr">
              <a:solidFill>
                <a:schemeClr val="tx1">
                  <a:lumMod val="15000"/>
                  <a:lumOff val="85000"/>
                </a:schemeClr>
              </a:solidFill>
              <a:round/>
            </a:ln>
            <a:effectLst/>
          </c:spPr>
        </c:majorGridlines>
        <c:title>
          <c:tx>
            <c:strRef>
              <c:f>Analysis!$AA$98</c:f>
              <c:strCache>
                <c:ptCount val="1"/>
                <c:pt idx="0">
                  <c:v>Average Shear Stress (kPa)</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10543536"/>
        <c:crosses val="autoZero"/>
        <c:crossBetween val="midCat"/>
        <c:majorUnit val="50"/>
      </c:valAx>
      <c:valAx>
        <c:axId val="735259912"/>
        <c:scaling>
          <c:orientation val="minMax"/>
        </c:scaling>
        <c:delete val="1"/>
        <c:axPos val="r"/>
        <c:numFmt formatCode="General" sourceLinked="1"/>
        <c:majorTickMark val="out"/>
        <c:minorTickMark val="none"/>
        <c:tickLblPos val="nextTo"/>
        <c:crossAx val="735256960"/>
        <c:crosses val="max"/>
        <c:crossBetween val="between"/>
      </c:valAx>
      <c:dateAx>
        <c:axId val="735256960"/>
        <c:scaling>
          <c:orientation val="minMax"/>
        </c:scaling>
        <c:delete val="1"/>
        <c:axPos val="t"/>
        <c:numFmt formatCode="General" sourceLinked="1"/>
        <c:majorTickMark val="out"/>
        <c:minorTickMark val="none"/>
        <c:tickLblPos val="nextTo"/>
        <c:crossAx val="735259912"/>
        <c:crosses val="max"/>
        <c:auto val="0"/>
        <c:lblOffset val="100"/>
        <c:baseTimeUnit val="days"/>
      </c:dateAx>
      <c:spPr>
        <a:noFill/>
        <a:ln>
          <a:noFill/>
        </a:ln>
        <a:effectLst/>
      </c:spPr>
    </c:plotArea>
    <c:legend>
      <c:legendPos val="r"/>
      <c:layout>
        <c:manualLayout>
          <c:xMode val="edge"/>
          <c:yMode val="edge"/>
          <c:x val="9.3778302033662581E-2"/>
          <c:y val="0.86333496294159873"/>
          <c:w val="0.86350021989573966"/>
          <c:h val="0.13666496243468315"/>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t>Belt and Lagging Wear - Induced Differential Shear Stress</a:t>
            </a:r>
            <a:endParaRPr lang="en-US" sz="1200"/>
          </a:p>
        </c:rich>
      </c:tx>
      <c:layout>
        <c:manualLayout>
          <c:xMode val="edge"/>
          <c:yMode val="edge"/>
          <c:x val="0.24188655879263324"/>
          <c:y val="3.1372575264265658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7337743025547009E-2"/>
          <c:y val="0.11431144565364498"/>
          <c:w val="0.84614986565064576"/>
          <c:h val="0.67297509772233333"/>
        </c:manualLayout>
      </c:layout>
      <c:scatterChart>
        <c:scatterStyle val="lineMarker"/>
        <c:varyColors val="0"/>
        <c:ser>
          <c:idx val="1"/>
          <c:order val="2"/>
          <c:tx>
            <c:strRef>
              <c:f>Analysis!$AW$105</c:f>
              <c:strCache>
                <c:ptCount val="1"/>
                <c:pt idx="0">
                  <c:v>Diff Shear Stress (kPa)</c:v>
                </c:pt>
              </c:strCache>
            </c:strRef>
          </c:tx>
          <c:spPr>
            <a:ln w="19050" cap="rnd">
              <a:solidFill>
                <a:srgbClr val="0070C0"/>
              </a:solidFill>
              <a:round/>
            </a:ln>
            <a:effectLst/>
          </c:spPr>
          <c:marker>
            <c:symbol val="none"/>
          </c:marker>
          <c:xVal>
            <c:numRef>
              <c:f>Analysis!$BD$106:$BD$206</c:f>
              <c:numCache>
                <c:formatCode>0</c:formatCode>
                <c:ptCount val="10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pt idx="25">
                  <c:v>375</c:v>
                </c:pt>
                <c:pt idx="26">
                  <c:v>390</c:v>
                </c:pt>
                <c:pt idx="27">
                  <c:v>405</c:v>
                </c:pt>
                <c:pt idx="28">
                  <c:v>420</c:v>
                </c:pt>
                <c:pt idx="29">
                  <c:v>435</c:v>
                </c:pt>
                <c:pt idx="30">
                  <c:v>450</c:v>
                </c:pt>
                <c:pt idx="31">
                  <c:v>465</c:v>
                </c:pt>
                <c:pt idx="32">
                  <c:v>480</c:v>
                </c:pt>
                <c:pt idx="33">
                  <c:v>495</c:v>
                </c:pt>
                <c:pt idx="34">
                  <c:v>510</c:v>
                </c:pt>
                <c:pt idx="35">
                  <c:v>525</c:v>
                </c:pt>
                <c:pt idx="36">
                  <c:v>540</c:v>
                </c:pt>
                <c:pt idx="37">
                  <c:v>555</c:v>
                </c:pt>
                <c:pt idx="38">
                  <c:v>570</c:v>
                </c:pt>
                <c:pt idx="39">
                  <c:v>585</c:v>
                </c:pt>
                <c:pt idx="40">
                  <c:v>600</c:v>
                </c:pt>
                <c:pt idx="41">
                  <c:v>615</c:v>
                </c:pt>
                <c:pt idx="42">
                  <c:v>630</c:v>
                </c:pt>
                <c:pt idx="43">
                  <c:v>645</c:v>
                </c:pt>
                <c:pt idx="44">
                  <c:v>660</c:v>
                </c:pt>
                <c:pt idx="45">
                  <c:v>675</c:v>
                </c:pt>
                <c:pt idx="46">
                  <c:v>690</c:v>
                </c:pt>
                <c:pt idx="47">
                  <c:v>705</c:v>
                </c:pt>
                <c:pt idx="48">
                  <c:v>720</c:v>
                </c:pt>
                <c:pt idx="49">
                  <c:v>735</c:v>
                </c:pt>
                <c:pt idx="50">
                  <c:v>750</c:v>
                </c:pt>
                <c:pt idx="51">
                  <c:v>765</c:v>
                </c:pt>
                <c:pt idx="52">
                  <c:v>780</c:v>
                </c:pt>
                <c:pt idx="53">
                  <c:v>795</c:v>
                </c:pt>
                <c:pt idx="54">
                  <c:v>810</c:v>
                </c:pt>
                <c:pt idx="55">
                  <c:v>825</c:v>
                </c:pt>
                <c:pt idx="56">
                  <c:v>840</c:v>
                </c:pt>
                <c:pt idx="57">
                  <c:v>855</c:v>
                </c:pt>
                <c:pt idx="58">
                  <c:v>870</c:v>
                </c:pt>
                <c:pt idx="59">
                  <c:v>885</c:v>
                </c:pt>
                <c:pt idx="60">
                  <c:v>900</c:v>
                </c:pt>
                <c:pt idx="61">
                  <c:v>915</c:v>
                </c:pt>
                <c:pt idx="62">
                  <c:v>930</c:v>
                </c:pt>
                <c:pt idx="63">
                  <c:v>945</c:v>
                </c:pt>
                <c:pt idx="64">
                  <c:v>960</c:v>
                </c:pt>
                <c:pt idx="65">
                  <c:v>975</c:v>
                </c:pt>
                <c:pt idx="66">
                  <c:v>990</c:v>
                </c:pt>
                <c:pt idx="67">
                  <c:v>1005</c:v>
                </c:pt>
                <c:pt idx="68">
                  <c:v>1020</c:v>
                </c:pt>
                <c:pt idx="69">
                  <c:v>1035</c:v>
                </c:pt>
                <c:pt idx="70">
                  <c:v>1050</c:v>
                </c:pt>
                <c:pt idx="71">
                  <c:v>1065</c:v>
                </c:pt>
                <c:pt idx="72">
                  <c:v>1080</c:v>
                </c:pt>
                <c:pt idx="73">
                  <c:v>1095</c:v>
                </c:pt>
                <c:pt idx="74">
                  <c:v>1110</c:v>
                </c:pt>
                <c:pt idx="75">
                  <c:v>1125</c:v>
                </c:pt>
                <c:pt idx="76">
                  <c:v>1140</c:v>
                </c:pt>
                <c:pt idx="77">
                  <c:v>1155</c:v>
                </c:pt>
                <c:pt idx="78">
                  <c:v>1170</c:v>
                </c:pt>
                <c:pt idx="79">
                  <c:v>1185</c:v>
                </c:pt>
                <c:pt idx="80">
                  <c:v>1200</c:v>
                </c:pt>
                <c:pt idx="81">
                  <c:v>1215</c:v>
                </c:pt>
                <c:pt idx="82">
                  <c:v>1230</c:v>
                </c:pt>
                <c:pt idx="83">
                  <c:v>1245</c:v>
                </c:pt>
                <c:pt idx="84">
                  <c:v>1260</c:v>
                </c:pt>
                <c:pt idx="85">
                  <c:v>1275</c:v>
                </c:pt>
                <c:pt idx="86">
                  <c:v>1290</c:v>
                </c:pt>
                <c:pt idx="87">
                  <c:v>1305</c:v>
                </c:pt>
                <c:pt idx="88">
                  <c:v>1320</c:v>
                </c:pt>
                <c:pt idx="89">
                  <c:v>1335</c:v>
                </c:pt>
                <c:pt idx="90">
                  <c:v>1350</c:v>
                </c:pt>
                <c:pt idx="91">
                  <c:v>1365</c:v>
                </c:pt>
                <c:pt idx="92">
                  <c:v>1380</c:v>
                </c:pt>
                <c:pt idx="93">
                  <c:v>1395</c:v>
                </c:pt>
                <c:pt idx="94">
                  <c:v>1410</c:v>
                </c:pt>
                <c:pt idx="95">
                  <c:v>1425</c:v>
                </c:pt>
                <c:pt idx="96">
                  <c:v>1440</c:v>
                </c:pt>
                <c:pt idx="97">
                  <c:v>1455</c:v>
                </c:pt>
                <c:pt idx="98">
                  <c:v>1470</c:v>
                </c:pt>
                <c:pt idx="99">
                  <c:v>1485</c:v>
                </c:pt>
                <c:pt idx="100">
                  <c:v>1500</c:v>
                </c:pt>
              </c:numCache>
            </c:numRef>
          </c:xVal>
          <c:yVal>
            <c:numRef>
              <c:f>Analysis!$BI$106:$BI$206</c:f>
              <c:numCache>
                <c:formatCode>0.00</c:formatCode>
                <c:ptCount val="101"/>
                <c:pt idx="0">
                  <c:v>-197.39209979505577</c:v>
                </c:pt>
                <c:pt idx="1">
                  <c:v>-197.39209979505577</c:v>
                </c:pt>
                <c:pt idx="2">
                  <c:v>-197.39209979505577</c:v>
                </c:pt>
                <c:pt idx="3">
                  <c:v>-197.39209979505577</c:v>
                </c:pt>
                <c:pt idx="4">
                  <c:v>-197.39209979505577</c:v>
                </c:pt>
                <c:pt idx="5">
                  <c:v>-197.39209979505577</c:v>
                </c:pt>
                <c:pt idx="6">
                  <c:v>-197.39209979505577</c:v>
                </c:pt>
                <c:pt idx="7">
                  <c:v>-197.39209979505577</c:v>
                </c:pt>
                <c:pt idx="8">
                  <c:v>-197.39209979505577</c:v>
                </c:pt>
                <c:pt idx="9">
                  <c:v>-197.39209979505577</c:v>
                </c:pt>
                <c:pt idx="10">
                  <c:v>-197.39209979505577</c:v>
                </c:pt>
                <c:pt idx="11">
                  <c:v>-197.39209979505577</c:v>
                </c:pt>
                <c:pt idx="12">
                  <c:v>-197.39209979505577</c:v>
                </c:pt>
                <c:pt idx="13">
                  <c:v>-197.39209979505577</c:v>
                </c:pt>
                <c:pt idx="14">
                  <c:v>-197.39209979505577</c:v>
                </c:pt>
                <c:pt idx="15">
                  <c:v>-197.39209979505577</c:v>
                </c:pt>
                <c:pt idx="16">
                  <c:v>-197.39209979505577</c:v>
                </c:pt>
                <c:pt idx="17">
                  <c:v>-188.46613227394172</c:v>
                </c:pt>
                <c:pt idx="18">
                  <c:v>-162.22648723018025</c:v>
                </c:pt>
                <c:pt idx="19">
                  <c:v>-136.79422760094818</c:v>
                </c:pt>
                <c:pt idx="20">
                  <c:v>-112.16935228316461</c:v>
                </c:pt>
                <c:pt idx="21">
                  <c:v>-88.35186021943835</c:v>
                </c:pt>
                <c:pt idx="22">
                  <c:v>-65.34175037848658</c:v>
                </c:pt>
                <c:pt idx="23">
                  <c:v>-43.139021761662072</c:v>
                </c:pt>
                <c:pt idx="24">
                  <c:v>-21.743673416007304</c:v>
                </c:pt>
                <c:pt idx="25">
                  <c:v>-1.1557044081461108</c:v>
                </c:pt>
                <c:pt idx="26">
                  <c:v>18.624886136553776</c:v>
                </c:pt>
                <c:pt idx="27">
                  <c:v>37.598099086197436</c:v>
                </c:pt>
                <c:pt idx="28">
                  <c:v>55.763935256673186</c:v>
                </c:pt>
                <c:pt idx="29">
                  <c:v>73.122395431233713</c:v>
                </c:pt>
                <c:pt idx="30">
                  <c:v>89.673480360496313</c:v>
                </c:pt>
                <c:pt idx="31">
                  <c:v>105.4171907559155</c:v>
                </c:pt>
                <c:pt idx="32">
                  <c:v>120.35352730283742</c:v>
                </c:pt>
                <c:pt idx="33">
                  <c:v>134.48249064744564</c:v>
                </c:pt>
                <c:pt idx="34">
                  <c:v>147.80408139023393</c:v>
                </c:pt>
                <c:pt idx="35">
                  <c:v>160.31830011864182</c:v>
                </c:pt>
                <c:pt idx="36">
                  <c:v>172.02514736789198</c:v>
                </c:pt>
                <c:pt idx="37">
                  <c:v>182.92462364057161</c:v>
                </c:pt>
                <c:pt idx="38">
                  <c:v>193.01672941315951</c:v>
                </c:pt>
                <c:pt idx="39">
                  <c:v>202.30146512297179</c:v>
                </c:pt>
                <c:pt idx="40">
                  <c:v>210.77883116163483</c:v>
                </c:pt>
                <c:pt idx="41">
                  <c:v>218.44882790772064</c:v>
                </c:pt>
                <c:pt idx="42">
                  <c:v>225.31145568105762</c:v>
                </c:pt>
                <c:pt idx="43">
                  <c:v>231.36671478189263</c:v>
                </c:pt>
                <c:pt idx="44">
                  <c:v>236.61460547783685</c:v>
                </c:pt>
                <c:pt idx="45">
                  <c:v>241.05512799081211</c:v>
                </c:pt>
                <c:pt idx="46">
                  <c:v>244.68828251010436</c:v>
                </c:pt>
                <c:pt idx="47">
                  <c:v>247.51406919889129</c:v>
                </c:pt>
                <c:pt idx="48">
                  <c:v>249.53248817466087</c:v>
                </c:pt>
                <c:pt idx="49">
                  <c:v>250.74353952226537</c:v>
                </c:pt>
                <c:pt idx="50">
                  <c:v>251.14722330044879</c:v>
                </c:pt>
                <c:pt idx="51">
                  <c:v>250.74353952226537</c:v>
                </c:pt>
                <c:pt idx="52">
                  <c:v>249.53248817466087</c:v>
                </c:pt>
                <c:pt idx="53">
                  <c:v>247.51406919889129</c:v>
                </c:pt>
                <c:pt idx="54">
                  <c:v>244.68828251010436</c:v>
                </c:pt>
                <c:pt idx="55">
                  <c:v>241.05512799081211</c:v>
                </c:pt>
                <c:pt idx="56">
                  <c:v>236.61460547783685</c:v>
                </c:pt>
                <c:pt idx="57">
                  <c:v>231.36671478189263</c:v>
                </c:pt>
                <c:pt idx="58">
                  <c:v>225.31145568105762</c:v>
                </c:pt>
                <c:pt idx="59">
                  <c:v>218.44882790772064</c:v>
                </c:pt>
                <c:pt idx="60">
                  <c:v>210.77883116163483</c:v>
                </c:pt>
                <c:pt idx="61">
                  <c:v>202.30146512297179</c:v>
                </c:pt>
                <c:pt idx="62">
                  <c:v>193.01672941315951</c:v>
                </c:pt>
                <c:pt idx="63">
                  <c:v>182.92462364057161</c:v>
                </c:pt>
                <c:pt idx="64">
                  <c:v>172.02514736789198</c:v>
                </c:pt>
                <c:pt idx="65">
                  <c:v>160.31830011864182</c:v>
                </c:pt>
                <c:pt idx="66">
                  <c:v>147.80408139023393</c:v>
                </c:pt>
                <c:pt idx="67">
                  <c:v>134.48249064744564</c:v>
                </c:pt>
                <c:pt idx="68">
                  <c:v>120.35352730283742</c:v>
                </c:pt>
                <c:pt idx="69">
                  <c:v>105.4171907559155</c:v>
                </c:pt>
                <c:pt idx="70">
                  <c:v>89.673480360496313</c:v>
                </c:pt>
                <c:pt idx="71">
                  <c:v>73.122395431233713</c:v>
                </c:pt>
                <c:pt idx="72">
                  <c:v>55.763935256673186</c:v>
                </c:pt>
                <c:pt idx="73">
                  <c:v>37.598099086197436</c:v>
                </c:pt>
                <c:pt idx="74">
                  <c:v>18.624886136553776</c:v>
                </c:pt>
                <c:pt idx="75">
                  <c:v>-1.1557044081461108</c:v>
                </c:pt>
                <c:pt idx="76">
                  <c:v>-21.743673416007304</c:v>
                </c:pt>
                <c:pt idx="77">
                  <c:v>-43.139021761662072</c:v>
                </c:pt>
                <c:pt idx="78">
                  <c:v>-65.34175037848658</c:v>
                </c:pt>
                <c:pt idx="79">
                  <c:v>-88.35186021943835</c:v>
                </c:pt>
                <c:pt idx="80">
                  <c:v>-112.16935228316461</c:v>
                </c:pt>
                <c:pt idx="81">
                  <c:v>-136.79422760094818</c:v>
                </c:pt>
                <c:pt idx="82">
                  <c:v>-162.22648723018025</c:v>
                </c:pt>
                <c:pt idx="83">
                  <c:v>-188.46613227394172</c:v>
                </c:pt>
                <c:pt idx="84">
                  <c:v>-197.39209979505577</c:v>
                </c:pt>
                <c:pt idx="85">
                  <c:v>-197.39209979505577</c:v>
                </c:pt>
                <c:pt idx="86">
                  <c:v>-197.39209979505577</c:v>
                </c:pt>
                <c:pt idx="87">
                  <c:v>-197.39209979505577</c:v>
                </c:pt>
                <c:pt idx="88">
                  <c:v>-197.39209979505577</c:v>
                </c:pt>
                <c:pt idx="89">
                  <c:v>-197.39209979505577</c:v>
                </c:pt>
                <c:pt idx="90">
                  <c:v>-197.39209979505577</c:v>
                </c:pt>
                <c:pt idx="91">
                  <c:v>-197.39209979505577</c:v>
                </c:pt>
                <c:pt idx="92">
                  <c:v>-197.39209979505577</c:v>
                </c:pt>
                <c:pt idx="93">
                  <c:v>-197.39209979505577</c:v>
                </c:pt>
                <c:pt idx="94">
                  <c:v>-197.39209979505577</c:v>
                </c:pt>
                <c:pt idx="95">
                  <c:v>-197.39209979505577</c:v>
                </c:pt>
                <c:pt idx="96">
                  <c:v>-197.39209979505577</c:v>
                </c:pt>
                <c:pt idx="97">
                  <c:v>-197.39209979505577</c:v>
                </c:pt>
                <c:pt idx="98">
                  <c:v>-197.39209979505577</c:v>
                </c:pt>
                <c:pt idx="99">
                  <c:v>-197.39209979505577</c:v>
                </c:pt>
                <c:pt idx="100">
                  <c:v>-197.39209979505577</c:v>
                </c:pt>
              </c:numCache>
            </c:numRef>
          </c:yVal>
          <c:smooth val="0"/>
          <c:extLst>
            <c:ext xmlns:c16="http://schemas.microsoft.com/office/drawing/2014/chart" uri="{C3380CC4-5D6E-409C-BE32-E72D297353CC}">
              <c16:uniqueId val="{00000000-CA24-4624-885E-2E0ED48FA942}"/>
            </c:ext>
          </c:extLst>
        </c:ser>
        <c:dLbls>
          <c:showLegendKey val="0"/>
          <c:showVal val="0"/>
          <c:showCatName val="0"/>
          <c:showSerName val="0"/>
          <c:showPercent val="0"/>
          <c:showBubbleSize val="0"/>
        </c:dLbls>
        <c:axId val="630710192"/>
        <c:axId val="630710848"/>
        <c:extLst>
          <c:ext xmlns:c15="http://schemas.microsoft.com/office/drawing/2012/chart" uri="{02D57815-91ED-43cb-92C2-25804820EDAC}">
            <c15:filteredScatterSeries>
              <c15:ser>
                <c:idx val="2"/>
                <c:order val="0"/>
                <c:tx>
                  <c:strRef>
                    <c:extLst>
                      <c:ext uri="{02D57815-91ED-43cb-92C2-25804820EDAC}">
                        <c15:formulaRef>
                          <c15:sqref>Analysis!$BH$105</c15:sqref>
                        </c15:formulaRef>
                      </c:ext>
                    </c:extLst>
                    <c:strCache>
                      <c:ptCount val="1"/>
                      <c:pt idx="0">
                        <c:v>Equiv. Belt Tension</c:v>
                      </c:pt>
                    </c:strCache>
                  </c:strRef>
                </c:tx>
                <c:spPr>
                  <a:ln w="19050" cap="rnd">
                    <a:solidFill>
                      <a:srgbClr val="FF0000"/>
                    </a:solidFill>
                    <a:round/>
                  </a:ln>
                  <a:effectLst/>
                </c:spPr>
                <c:marker>
                  <c:symbol val="none"/>
                </c:marker>
                <c:xVal>
                  <c:numRef>
                    <c:extLst>
                      <c:ext uri="{02D57815-91ED-43cb-92C2-25804820EDAC}">
                        <c15:formulaRef>
                          <c15:sqref>Analysis!$BD$106:$BD$206</c15:sqref>
                        </c15:formulaRef>
                      </c:ext>
                    </c:extLst>
                    <c:numCache>
                      <c:formatCode>0</c:formatCode>
                      <c:ptCount val="10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pt idx="25">
                        <c:v>375</c:v>
                      </c:pt>
                      <c:pt idx="26">
                        <c:v>390</c:v>
                      </c:pt>
                      <c:pt idx="27">
                        <c:v>405</c:v>
                      </c:pt>
                      <c:pt idx="28">
                        <c:v>420</c:v>
                      </c:pt>
                      <c:pt idx="29">
                        <c:v>435</c:v>
                      </c:pt>
                      <c:pt idx="30">
                        <c:v>450</c:v>
                      </c:pt>
                      <c:pt idx="31">
                        <c:v>465</c:v>
                      </c:pt>
                      <c:pt idx="32">
                        <c:v>480</c:v>
                      </c:pt>
                      <c:pt idx="33">
                        <c:v>495</c:v>
                      </c:pt>
                      <c:pt idx="34">
                        <c:v>510</c:v>
                      </c:pt>
                      <c:pt idx="35">
                        <c:v>525</c:v>
                      </c:pt>
                      <c:pt idx="36">
                        <c:v>540</c:v>
                      </c:pt>
                      <c:pt idx="37">
                        <c:v>555</c:v>
                      </c:pt>
                      <c:pt idx="38">
                        <c:v>570</c:v>
                      </c:pt>
                      <c:pt idx="39">
                        <c:v>585</c:v>
                      </c:pt>
                      <c:pt idx="40">
                        <c:v>600</c:v>
                      </c:pt>
                      <c:pt idx="41">
                        <c:v>615</c:v>
                      </c:pt>
                      <c:pt idx="42">
                        <c:v>630</c:v>
                      </c:pt>
                      <c:pt idx="43">
                        <c:v>645</c:v>
                      </c:pt>
                      <c:pt idx="44">
                        <c:v>660</c:v>
                      </c:pt>
                      <c:pt idx="45">
                        <c:v>675</c:v>
                      </c:pt>
                      <c:pt idx="46">
                        <c:v>690</c:v>
                      </c:pt>
                      <c:pt idx="47">
                        <c:v>705</c:v>
                      </c:pt>
                      <c:pt idx="48">
                        <c:v>720</c:v>
                      </c:pt>
                      <c:pt idx="49">
                        <c:v>735</c:v>
                      </c:pt>
                      <c:pt idx="50">
                        <c:v>750</c:v>
                      </c:pt>
                      <c:pt idx="51">
                        <c:v>765</c:v>
                      </c:pt>
                      <c:pt idx="52">
                        <c:v>780</c:v>
                      </c:pt>
                      <c:pt idx="53">
                        <c:v>795</c:v>
                      </c:pt>
                      <c:pt idx="54">
                        <c:v>810</c:v>
                      </c:pt>
                      <c:pt idx="55">
                        <c:v>825</c:v>
                      </c:pt>
                      <c:pt idx="56">
                        <c:v>840</c:v>
                      </c:pt>
                      <c:pt idx="57">
                        <c:v>855</c:v>
                      </c:pt>
                      <c:pt idx="58">
                        <c:v>870</c:v>
                      </c:pt>
                      <c:pt idx="59">
                        <c:v>885</c:v>
                      </c:pt>
                      <c:pt idx="60">
                        <c:v>900</c:v>
                      </c:pt>
                      <c:pt idx="61">
                        <c:v>915</c:v>
                      </c:pt>
                      <c:pt idx="62">
                        <c:v>930</c:v>
                      </c:pt>
                      <c:pt idx="63">
                        <c:v>945</c:v>
                      </c:pt>
                      <c:pt idx="64">
                        <c:v>960</c:v>
                      </c:pt>
                      <c:pt idx="65">
                        <c:v>975</c:v>
                      </c:pt>
                      <c:pt idx="66">
                        <c:v>990</c:v>
                      </c:pt>
                      <c:pt idx="67">
                        <c:v>1005</c:v>
                      </c:pt>
                      <c:pt idx="68">
                        <c:v>1020</c:v>
                      </c:pt>
                      <c:pt idx="69">
                        <c:v>1035</c:v>
                      </c:pt>
                      <c:pt idx="70">
                        <c:v>1050</c:v>
                      </c:pt>
                      <c:pt idx="71">
                        <c:v>1065</c:v>
                      </c:pt>
                      <c:pt idx="72">
                        <c:v>1080</c:v>
                      </c:pt>
                      <c:pt idx="73">
                        <c:v>1095</c:v>
                      </c:pt>
                      <c:pt idx="74">
                        <c:v>1110</c:v>
                      </c:pt>
                      <c:pt idx="75">
                        <c:v>1125</c:v>
                      </c:pt>
                      <c:pt idx="76">
                        <c:v>1140</c:v>
                      </c:pt>
                      <c:pt idx="77">
                        <c:v>1155</c:v>
                      </c:pt>
                      <c:pt idx="78">
                        <c:v>1170</c:v>
                      </c:pt>
                      <c:pt idx="79">
                        <c:v>1185</c:v>
                      </c:pt>
                      <c:pt idx="80">
                        <c:v>1200</c:v>
                      </c:pt>
                      <c:pt idx="81">
                        <c:v>1215</c:v>
                      </c:pt>
                      <c:pt idx="82">
                        <c:v>1230</c:v>
                      </c:pt>
                      <c:pt idx="83">
                        <c:v>1245</c:v>
                      </c:pt>
                      <c:pt idx="84">
                        <c:v>1260</c:v>
                      </c:pt>
                      <c:pt idx="85">
                        <c:v>1275</c:v>
                      </c:pt>
                      <c:pt idx="86">
                        <c:v>1290</c:v>
                      </c:pt>
                      <c:pt idx="87">
                        <c:v>1305</c:v>
                      </c:pt>
                      <c:pt idx="88">
                        <c:v>1320</c:v>
                      </c:pt>
                      <c:pt idx="89">
                        <c:v>1335</c:v>
                      </c:pt>
                      <c:pt idx="90">
                        <c:v>1350</c:v>
                      </c:pt>
                      <c:pt idx="91">
                        <c:v>1365</c:v>
                      </c:pt>
                      <c:pt idx="92">
                        <c:v>1380</c:v>
                      </c:pt>
                      <c:pt idx="93">
                        <c:v>1395</c:v>
                      </c:pt>
                      <c:pt idx="94">
                        <c:v>1410</c:v>
                      </c:pt>
                      <c:pt idx="95">
                        <c:v>1425</c:v>
                      </c:pt>
                      <c:pt idx="96">
                        <c:v>1440</c:v>
                      </c:pt>
                      <c:pt idx="97">
                        <c:v>1455</c:v>
                      </c:pt>
                      <c:pt idx="98">
                        <c:v>1470</c:v>
                      </c:pt>
                      <c:pt idx="99">
                        <c:v>1485</c:v>
                      </c:pt>
                      <c:pt idx="100">
                        <c:v>1500</c:v>
                      </c:pt>
                    </c:numCache>
                  </c:numRef>
                </c:xVal>
                <c:yVal>
                  <c:numRef>
                    <c:extLst>
                      <c:ext uri="{02D57815-91ED-43cb-92C2-25804820EDAC}">
                        <c15:formulaRef>
                          <c15:sqref>Analysis!$BH$106:$BH$206</c15:sqref>
                        </c15:formulaRef>
                      </c:ext>
                    </c:extLst>
                    <c:numCache>
                      <c:formatCode>0.0</c:formatCode>
                      <c:ptCount val="101"/>
                      <c:pt idx="0">
                        <c:v>873.75142581633452</c:v>
                      </c:pt>
                      <c:pt idx="1">
                        <c:v>873.75142581633452</c:v>
                      </c:pt>
                      <c:pt idx="2">
                        <c:v>873.75142581633452</c:v>
                      </c:pt>
                      <c:pt idx="3">
                        <c:v>873.75142581633452</c:v>
                      </c:pt>
                      <c:pt idx="4">
                        <c:v>873.75142581633452</c:v>
                      </c:pt>
                      <c:pt idx="5">
                        <c:v>873.75142581633452</c:v>
                      </c:pt>
                      <c:pt idx="6">
                        <c:v>873.75142581633452</c:v>
                      </c:pt>
                      <c:pt idx="7">
                        <c:v>873.75142581633452</c:v>
                      </c:pt>
                      <c:pt idx="8">
                        <c:v>873.75142581633452</c:v>
                      </c:pt>
                      <c:pt idx="9">
                        <c:v>873.75142581633452</c:v>
                      </c:pt>
                      <c:pt idx="10">
                        <c:v>873.75142581633452</c:v>
                      </c:pt>
                      <c:pt idx="11">
                        <c:v>873.75142581633452</c:v>
                      </c:pt>
                      <c:pt idx="12">
                        <c:v>873.75142581633452</c:v>
                      </c:pt>
                      <c:pt idx="13">
                        <c:v>873.75142581633452</c:v>
                      </c:pt>
                      <c:pt idx="14">
                        <c:v>873.75142581633452</c:v>
                      </c:pt>
                      <c:pt idx="15">
                        <c:v>872.17573635208362</c:v>
                      </c:pt>
                      <c:pt idx="16">
                        <c:v>864.39230693232298</c:v>
                      </c:pt>
                      <c:pt idx="17">
                        <c:v>864.85210442557627</c:v>
                      </c:pt>
                      <c:pt idx="18">
                        <c:v>890.15784354706761</c:v>
                      </c:pt>
                      <c:pt idx="19">
                        <c:v>906.91709603206596</c:v>
                      </c:pt>
                      <c:pt idx="20">
                        <c:v>920.04696697211227</c:v>
                      </c:pt>
                      <c:pt idx="21">
                        <c:v>932.7463448476982</c:v>
                      </c:pt>
                      <c:pt idx="22">
                        <c:v>945.01523021215633</c:v>
                      </c:pt>
                      <c:pt idx="23">
                        <c:v>956.8536236037213</c:v>
                      </c:pt>
                      <c:pt idx="24">
                        <c:v>968.26152552128826</c:v>
                      </c:pt>
                      <c:pt idx="25">
                        <c:v>979.23893647635612</c:v>
                      </c:pt>
                      <c:pt idx="26">
                        <c:v>989.78585691338219</c:v>
                      </c:pt>
                      <c:pt idx="27">
                        <c:v>999.90228731482409</c:v>
                      </c:pt>
                      <c:pt idx="28">
                        <c:v>1009.5882281099485</c:v>
                      </c:pt>
                      <c:pt idx="29">
                        <c:v>1018.8436797140781</c:v>
                      </c:pt>
                      <c:pt idx="30">
                        <c:v>1027.668642529743</c:v>
                      </c:pt>
                      <c:pt idx="31">
                        <c:v>1036.0631169305266</c:v>
                      </c:pt>
                      <c:pt idx="32">
                        <c:v>1044.0271032899172</c:v>
                      </c:pt>
                      <c:pt idx="33">
                        <c:v>1051.5606019536099</c:v>
                      </c:pt>
                      <c:pt idx="34">
                        <c:v>1058.6636132268059</c:v>
                      </c:pt>
                      <c:pt idx="35">
                        <c:v>1065.3361374411611</c:v>
                      </c:pt>
                      <c:pt idx="36">
                        <c:v>1071.5781748739882</c:v>
                      </c:pt>
                      <c:pt idx="37">
                        <c:v>1077.3897257875033</c:v>
                      </c:pt>
                      <c:pt idx="38">
                        <c:v>1082.7707904449803</c:v>
                      </c:pt>
                      <c:pt idx="39">
                        <c:v>1087.7213690807471</c:v>
                      </c:pt>
                      <c:pt idx="40">
                        <c:v>1092.2414618897897</c:v>
                      </c:pt>
                      <c:pt idx="41">
                        <c:v>1096.3310690935491</c:v>
                      </c:pt>
                      <c:pt idx="42">
                        <c:v>1099.990190845273</c:v>
                      </c:pt>
                      <c:pt idx="43">
                        <c:v>1103.2188273096604</c:v>
                      </c:pt>
                      <c:pt idx="44">
                        <c:v>1106.0169786386182</c:v>
                      </c:pt>
                      <c:pt idx="45">
                        <c:v>1108.3846449424091</c:v>
                      </c:pt>
                      <c:pt idx="46">
                        <c:v>1110.3218263185017</c:v>
                      </c:pt>
                      <c:pt idx="47">
                        <c:v>1111.8285228642726</c:v>
                      </c:pt>
                      <c:pt idx="48">
                        <c:v>1112.9047346354523</c:v>
                      </c:pt>
                      <c:pt idx="49">
                        <c:v>1113.5504616738267</c:v>
                      </c:pt>
                      <c:pt idx="50">
                        <c:v>1113.7657040199356</c:v>
                      </c:pt>
                      <c:pt idx="51">
                        <c:v>1113.5504616738267</c:v>
                      </c:pt>
                      <c:pt idx="52">
                        <c:v>1112.9047346354523</c:v>
                      </c:pt>
                      <c:pt idx="53">
                        <c:v>1111.8285228642726</c:v>
                      </c:pt>
                      <c:pt idx="54">
                        <c:v>1110.3218263185017</c:v>
                      </c:pt>
                      <c:pt idx="55">
                        <c:v>1108.3846449424091</c:v>
                      </c:pt>
                      <c:pt idx="56">
                        <c:v>1106.0169786386182</c:v>
                      </c:pt>
                      <c:pt idx="57">
                        <c:v>1103.2188273096604</c:v>
                      </c:pt>
                      <c:pt idx="58">
                        <c:v>1099.990190845273</c:v>
                      </c:pt>
                      <c:pt idx="59">
                        <c:v>1096.3310690935491</c:v>
                      </c:pt>
                      <c:pt idx="60">
                        <c:v>1092.2414618897897</c:v>
                      </c:pt>
                      <c:pt idx="61">
                        <c:v>1087.7213690807471</c:v>
                      </c:pt>
                      <c:pt idx="62">
                        <c:v>1082.7707904449803</c:v>
                      </c:pt>
                      <c:pt idx="63">
                        <c:v>1077.3897257875033</c:v>
                      </c:pt>
                      <c:pt idx="64">
                        <c:v>1071.5781748739882</c:v>
                      </c:pt>
                      <c:pt idx="65">
                        <c:v>1065.3361374411611</c:v>
                      </c:pt>
                      <c:pt idx="66">
                        <c:v>1058.6636132268059</c:v>
                      </c:pt>
                      <c:pt idx="67">
                        <c:v>1051.5606019536099</c:v>
                      </c:pt>
                      <c:pt idx="68">
                        <c:v>1044.0271032899172</c:v>
                      </c:pt>
                      <c:pt idx="69">
                        <c:v>1036.0631169305266</c:v>
                      </c:pt>
                      <c:pt idx="70">
                        <c:v>1027.668642529743</c:v>
                      </c:pt>
                      <c:pt idx="71">
                        <c:v>1018.8436797140781</c:v>
                      </c:pt>
                      <c:pt idx="72">
                        <c:v>1009.5882281099485</c:v>
                      </c:pt>
                      <c:pt idx="73">
                        <c:v>999.90228731482409</c:v>
                      </c:pt>
                      <c:pt idx="74">
                        <c:v>989.78585691338219</c:v>
                      </c:pt>
                      <c:pt idx="75">
                        <c:v>979.23893647635612</c:v>
                      </c:pt>
                      <c:pt idx="76">
                        <c:v>968.26152552128826</c:v>
                      </c:pt>
                      <c:pt idx="77">
                        <c:v>956.8536236037213</c:v>
                      </c:pt>
                      <c:pt idx="78">
                        <c:v>945.01523021215633</c:v>
                      </c:pt>
                      <c:pt idx="79">
                        <c:v>932.7463448476982</c:v>
                      </c:pt>
                      <c:pt idx="80">
                        <c:v>920.04696697211227</c:v>
                      </c:pt>
                      <c:pt idx="81">
                        <c:v>906.91709603206596</c:v>
                      </c:pt>
                      <c:pt idx="82">
                        <c:v>890.15784354706761</c:v>
                      </c:pt>
                      <c:pt idx="83">
                        <c:v>864.85210442557627</c:v>
                      </c:pt>
                      <c:pt idx="84">
                        <c:v>864.39230693232298</c:v>
                      </c:pt>
                      <c:pt idx="85">
                        <c:v>872.17573635208362</c:v>
                      </c:pt>
                      <c:pt idx="86">
                        <c:v>873.75142581633452</c:v>
                      </c:pt>
                      <c:pt idx="87">
                        <c:v>873.75142581633452</c:v>
                      </c:pt>
                      <c:pt idx="88">
                        <c:v>873.75142581633452</c:v>
                      </c:pt>
                      <c:pt idx="89">
                        <c:v>873.75142581633452</c:v>
                      </c:pt>
                      <c:pt idx="90">
                        <c:v>873.75142581633452</c:v>
                      </c:pt>
                      <c:pt idx="91">
                        <c:v>873.75142581633452</c:v>
                      </c:pt>
                      <c:pt idx="92">
                        <c:v>873.75142581633452</c:v>
                      </c:pt>
                      <c:pt idx="93">
                        <c:v>873.75142581633452</c:v>
                      </c:pt>
                      <c:pt idx="94">
                        <c:v>873.75142581633452</c:v>
                      </c:pt>
                      <c:pt idx="95">
                        <c:v>873.75142581633452</c:v>
                      </c:pt>
                      <c:pt idx="96">
                        <c:v>873.75142581633452</c:v>
                      </c:pt>
                      <c:pt idx="97">
                        <c:v>873.75142581633452</c:v>
                      </c:pt>
                      <c:pt idx="98">
                        <c:v>873.75142581633452</c:v>
                      </c:pt>
                      <c:pt idx="99">
                        <c:v>873.75142581633452</c:v>
                      </c:pt>
                      <c:pt idx="100">
                        <c:v>873.75142581633452</c:v>
                      </c:pt>
                    </c:numCache>
                  </c:numRef>
                </c:yVal>
                <c:smooth val="0"/>
                <c:extLst>
                  <c:ext xmlns:c16="http://schemas.microsoft.com/office/drawing/2014/chart" uri="{C3380CC4-5D6E-409C-BE32-E72D297353CC}">
                    <c16:uniqueId val="{00000001-C944-4272-B383-AFC90D74C3CD}"/>
                  </c:ext>
                </c:extLst>
              </c15:ser>
            </c15:filteredScatterSeries>
          </c:ext>
        </c:extLst>
      </c:scatterChart>
      <c:scatterChart>
        <c:scatterStyle val="lineMarker"/>
        <c:varyColors val="0"/>
        <c:ser>
          <c:idx val="0"/>
          <c:order val="1"/>
          <c:tx>
            <c:strRef>
              <c:f>Analysis!$BF$105</c:f>
              <c:strCache>
                <c:ptCount val="1"/>
                <c:pt idx="0">
                  <c:v>Radial Deviation</c:v>
                </c:pt>
              </c:strCache>
            </c:strRef>
          </c:tx>
          <c:spPr>
            <a:ln w="19050" cap="rnd">
              <a:solidFill>
                <a:srgbClr val="00B050"/>
              </a:solidFill>
              <a:round/>
            </a:ln>
            <a:effectLst/>
          </c:spPr>
          <c:marker>
            <c:symbol val="none"/>
          </c:marker>
          <c:xVal>
            <c:numRef>
              <c:f>Analysis!$BD$106:$BD$206</c:f>
              <c:numCache>
                <c:formatCode>0</c:formatCode>
                <c:ptCount val="10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pt idx="25">
                  <c:v>375</c:v>
                </c:pt>
                <c:pt idx="26">
                  <c:v>390</c:v>
                </c:pt>
                <c:pt idx="27">
                  <c:v>405</c:v>
                </c:pt>
                <c:pt idx="28">
                  <c:v>420</c:v>
                </c:pt>
                <c:pt idx="29">
                  <c:v>435</c:v>
                </c:pt>
                <c:pt idx="30">
                  <c:v>450</c:v>
                </c:pt>
                <c:pt idx="31">
                  <c:v>465</c:v>
                </c:pt>
                <c:pt idx="32">
                  <c:v>480</c:v>
                </c:pt>
                <c:pt idx="33">
                  <c:v>495</c:v>
                </c:pt>
                <c:pt idx="34">
                  <c:v>510</c:v>
                </c:pt>
                <c:pt idx="35">
                  <c:v>525</c:v>
                </c:pt>
                <c:pt idx="36">
                  <c:v>540</c:v>
                </c:pt>
                <c:pt idx="37">
                  <c:v>555</c:v>
                </c:pt>
                <c:pt idx="38">
                  <c:v>570</c:v>
                </c:pt>
                <c:pt idx="39">
                  <c:v>585</c:v>
                </c:pt>
                <c:pt idx="40">
                  <c:v>600</c:v>
                </c:pt>
                <c:pt idx="41">
                  <c:v>615</c:v>
                </c:pt>
                <c:pt idx="42">
                  <c:v>630</c:v>
                </c:pt>
                <c:pt idx="43">
                  <c:v>645</c:v>
                </c:pt>
                <c:pt idx="44">
                  <c:v>660</c:v>
                </c:pt>
                <c:pt idx="45">
                  <c:v>675</c:v>
                </c:pt>
                <c:pt idx="46">
                  <c:v>690</c:v>
                </c:pt>
                <c:pt idx="47">
                  <c:v>705</c:v>
                </c:pt>
                <c:pt idx="48">
                  <c:v>720</c:v>
                </c:pt>
                <c:pt idx="49">
                  <c:v>735</c:v>
                </c:pt>
                <c:pt idx="50">
                  <c:v>750</c:v>
                </c:pt>
                <c:pt idx="51">
                  <c:v>765</c:v>
                </c:pt>
                <c:pt idx="52">
                  <c:v>780</c:v>
                </c:pt>
                <c:pt idx="53">
                  <c:v>795</c:v>
                </c:pt>
                <c:pt idx="54">
                  <c:v>810</c:v>
                </c:pt>
                <c:pt idx="55">
                  <c:v>825</c:v>
                </c:pt>
                <c:pt idx="56">
                  <c:v>840</c:v>
                </c:pt>
                <c:pt idx="57">
                  <c:v>855</c:v>
                </c:pt>
                <c:pt idx="58">
                  <c:v>870</c:v>
                </c:pt>
                <c:pt idx="59">
                  <c:v>885</c:v>
                </c:pt>
                <c:pt idx="60">
                  <c:v>900</c:v>
                </c:pt>
                <c:pt idx="61">
                  <c:v>915</c:v>
                </c:pt>
                <c:pt idx="62">
                  <c:v>930</c:v>
                </c:pt>
                <c:pt idx="63">
                  <c:v>945</c:v>
                </c:pt>
                <c:pt idx="64">
                  <c:v>960</c:v>
                </c:pt>
                <c:pt idx="65">
                  <c:v>975</c:v>
                </c:pt>
                <c:pt idx="66">
                  <c:v>990</c:v>
                </c:pt>
                <c:pt idx="67">
                  <c:v>1005</c:v>
                </c:pt>
                <c:pt idx="68">
                  <c:v>1020</c:v>
                </c:pt>
                <c:pt idx="69">
                  <c:v>1035</c:v>
                </c:pt>
                <c:pt idx="70">
                  <c:v>1050</c:v>
                </c:pt>
                <c:pt idx="71">
                  <c:v>1065</c:v>
                </c:pt>
                <c:pt idx="72">
                  <c:v>1080</c:v>
                </c:pt>
                <c:pt idx="73">
                  <c:v>1095</c:v>
                </c:pt>
                <c:pt idx="74">
                  <c:v>1110</c:v>
                </c:pt>
                <c:pt idx="75">
                  <c:v>1125</c:v>
                </c:pt>
                <c:pt idx="76">
                  <c:v>1140</c:v>
                </c:pt>
                <c:pt idx="77">
                  <c:v>1155</c:v>
                </c:pt>
                <c:pt idx="78">
                  <c:v>1170</c:v>
                </c:pt>
                <c:pt idx="79">
                  <c:v>1185</c:v>
                </c:pt>
                <c:pt idx="80">
                  <c:v>1200</c:v>
                </c:pt>
                <c:pt idx="81">
                  <c:v>1215</c:v>
                </c:pt>
                <c:pt idx="82">
                  <c:v>1230</c:v>
                </c:pt>
                <c:pt idx="83">
                  <c:v>1245</c:v>
                </c:pt>
                <c:pt idx="84">
                  <c:v>1260</c:v>
                </c:pt>
                <c:pt idx="85">
                  <c:v>1275</c:v>
                </c:pt>
                <c:pt idx="86">
                  <c:v>1290</c:v>
                </c:pt>
                <c:pt idx="87">
                  <c:v>1305</c:v>
                </c:pt>
                <c:pt idx="88">
                  <c:v>1320</c:v>
                </c:pt>
                <c:pt idx="89">
                  <c:v>1335</c:v>
                </c:pt>
                <c:pt idx="90">
                  <c:v>1350</c:v>
                </c:pt>
                <c:pt idx="91">
                  <c:v>1365</c:v>
                </c:pt>
                <c:pt idx="92">
                  <c:v>1380</c:v>
                </c:pt>
                <c:pt idx="93">
                  <c:v>1395</c:v>
                </c:pt>
                <c:pt idx="94">
                  <c:v>1410</c:v>
                </c:pt>
                <c:pt idx="95">
                  <c:v>1425</c:v>
                </c:pt>
                <c:pt idx="96">
                  <c:v>1440</c:v>
                </c:pt>
                <c:pt idx="97">
                  <c:v>1455</c:v>
                </c:pt>
                <c:pt idx="98">
                  <c:v>1470</c:v>
                </c:pt>
                <c:pt idx="99">
                  <c:v>1485</c:v>
                </c:pt>
                <c:pt idx="100">
                  <c:v>1500</c:v>
                </c:pt>
              </c:numCache>
            </c:numRef>
          </c:xVal>
          <c:yVal>
            <c:numRef>
              <c:f>Analysis!$BF$106:$BF$206</c:f>
              <c:numCache>
                <c:formatCode>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3.9800156024284661E-2</c:v>
                </c:pt>
                <c:pt idx="18">
                  <c:v>0.15680057802819647</c:v>
                </c:pt>
                <c:pt idx="19">
                  <c:v>0.27020093478495255</c:v>
                </c:pt>
                <c:pt idx="20">
                  <c:v>0.38000123121310025</c:v>
                </c:pt>
                <c:pt idx="21">
                  <c:v>0.48620147202746011</c:v>
                </c:pt>
                <c:pt idx="22">
                  <c:v>0.58880166182643734</c:v>
                </c:pt>
                <c:pt idx="23">
                  <c:v>0.68780180506291799</c:v>
                </c:pt>
                <c:pt idx="24">
                  <c:v>0.78320190598606132</c:v>
                </c:pt>
                <c:pt idx="25">
                  <c:v>0.87500196875771508</c:v>
                </c:pt>
                <c:pt idx="26">
                  <c:v>0.96320199727779254</c:v>
                </c:pt>
                <c:pt idx="27">
                  <c:v>1.0478019954171032</c:v>
                </c:pt>
                <c:pt idx="28">
                  <c:v>1.1288019668136258</c:v>
                </c:pt>
                <c:pt idx="29">
                  <c:v>1.20620191495982</c:v>
                </c:pt>
                <c:pt idx="30">
                  <c:v>1.2800018432026263</c:v>
                </c:pt>
                <c:pt idx="31">
                  <c:v>1.3502017547143623</c:v>
                </c:pt>
                <c:pt idx="32">
                  <c:v>1.4168016525509302</c:v>
                </c:pt>
                <c:pt idx="33">
                  <c:v>1.479801539593609</c:v>
                </c:pt>
                <c:pt idx="34">
                  <c:v>1.5392014185199514</c:v>
                </c:pt>
                <c:pt idx="35">
                  <c:v>1.595001291949302</c:v>
                </c:pt>
                <c:pt idx="36">
                  <c:v>1.6472011622681748</c:v>
                </c:pt>
                <c:pt idx="37">
                  <c:v>1.6958010317175649</c:v>
                </c:pt>
                <c:pt idx="38">
                  <c:v>1.7408009024220519</c:v>
                </c:pt>
                <c:pt idx="39">
                  <c:v>1.7822007763315924</c:v>
                </c:pt>
                <c:pt idx="40">
                  <c:v>1.8200006551924162</c:v>
                </c:pt>
                <c:pt idx="41">
                  <c:v>1.8542005406925455</c:v>
                </c:pt>
                <c:pt idx="42">
                  <c:v>1.884800434258068</c:v>
                </c:pt>
                <c:pt idx="43">
                  <c:v>1.9118003372277599</c:v>
                </c:pt>
                <c:pt idx="44">
                  <c:v>1.9352002507948782</c:v>
                </c:pt>
                <c:pt idx="45">
                  <c:v>1.9550001759489533</c:v>
                </c:pt>
                <c:pt idx="46">
                  <c:v>1.971200113533996</c:v>
                </c:pt>
                <c:pt idx="47">
                  <c:v>1.9838000642776024</c:v>
                </c:pt>
                <c:pt idx="48">
                  <c:v>1.9928000287036411</c:v>
                </c:pt>
                <c:pt idx="49">
                  <c:v>1.9982000071904622</c:v>
                </c:pt>
                <c:pt idx="50">
                  <c:v>2</c:v>
                </c:pt>
                <c:pt idx="51">
                  <c:v>1.9982000071904622</c:v>
                </c:pt>
                <c:pt idx="52">
                  <c:v>1.9928000287036411</c:v>
                </c:pt>
                <c:pt idx="53">
                  <c:v>1.9838000642776024</c:v>
                </c:pt>
                <c:pt idx="54">
                  <c:v>1.971200113533996</c:v>
                </c:pt>
                <c:pt idx="55">
                  <c:v>1.9550001759489533</c:v>
                </c:pt>
                <c:pt idx="56">
                  <c:v>1.9352002507948782</c:v>
                </c:pt>
                <c:pt idx="57">
                  <c:v>1.9118003372277599</c:v>
                </c:pt>
                <c:pt idx="58">
                  <c:v>1.884800434258068</c:v>
                </c:pt>
                <c:pt idx="59">
                  <c:v>1.8542005406925455</c:v>
                </c:pt>
                <c:pt idx="60">
                  <c:v>1.8200006551924162</c:v>
                </c:pt>
                <c:pt idx="61">
                  <c:v>1.7822007763315924</c:v>
                </c:pt>
                <c:pt idx="62">
                  <c:v>1.7408009024220519</c:v>
                </c:pt>
                <c:pt idx="63">
                  <c:v>1.6958010317175649</c:v>
                </c:pt>
                <c:pt idx="64">
                  <c:v>1.6472011622681748</c:v>
                </c:pt>
                <c:pt idx="65">
                  <c:v>1.595001291949302</c:v>
                </c:pt>
                <c:pt idx="66">
                  <c:v>1.5392014185199514</c:v>
                </c:pt>
                <c:pt idx="67">
                  <c:v>1.479801539593609</c:v>
                </c:pt>
                <c:pt idx="68">
                  <c:v>1.4168016525509302</c:v>
                </c:pt>
                <c:pt idx="69">
                  <c:v>1.3502017547143623</c:v>
                </c:pt>
                <c:pt idx="70">
                  <c:v>1.2800018432026263</c:v>
                </c:pt>
                <c:pt idx="71">
                  <c:v>1.20620191495982</c:v>
                </c:pt>
                <c:pt idx="72">
                  <c:v>1.1288019668136258</c:v>
                </c:pt>
                <c:pt idx="73">
                  <c:v>1.0478019954171032</c:v>
                </c:pt>
                <c:pt idx="74">
                  <c:v>0.96320199727779254</c:v>
                </c:pt>
                <c:pt idx="75">
                  <c:v>0.87500196875771508</c:v>
                </c:pt>
                <c:pt idx="76">
                  <c:v>0.78320190598606132</c:v>
                </c:pt>
                <c:pt idx="77">
                  <c:v>0.68780180506291799</c:v>
                </c:pt>
                <c:pt idx="78">
                  <c:v>0.58880166182643734</c:v>
                </c:pt>
                <c:pt idx="79">
                  <c:v>0.48620147202746011</c:v>
                </c:pt>
                <c:pt idx="80">
                  <c:v>0.38000123121310025</c:v>
                </c:pt>
                <c:pt idx="81">
                  <c:v>0.27020093478495255</c:v>
                </c:pt>
                <c:pt idx="82">
                  <c:v>0.15680057802819647</c:v>
                </c:pt>
                <c:pt idx="83">
                  <c:v>3.9800156024284661E-2</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2-C944-4272-B383-AFC90D74C3CD}"/>
            </c:ext>
          </c:extLst>
        </c:ser>
        <c:dLbls>
          <c:showLegendKey val="0"/>
          <c:showVal val="0"/>
          <c:showCatName val="0"/>
          <c:showSerName val="0"/>
          <c:showPercent val="0"/>
          <c:showBubbleSize val="0"/>
        </c:dLbls>
        <c:axId val="590963248"/>
        <c:axId val="590956360"/>
        <c:extLst/>
      </c:scatterChart>
      <c:valAx>
        <c:axId val="630710192"/>
        <c:scaling>
          <c:orientation val="minMax"/>
          <c:max val="1500"/>
          <c:min val="0"/>
        </c:scaling>
        <c:delete val="0"/>
        <c:axPos val="b"/>
        <c:majorGridlines>
          <c:spPr>
            <a:ln w="9525" cap="flat" cmpd="sng" algn="ctr">
              <a:solidFill>
                <a:schemeClr val="tx1">
                  <a:lumMod val="15000"/>
                  <a:lumOff val="85000"/>
                </a:schemeClr>
              </a:solidFill>
              <a:round/>
            </a:ln>
            <a:effectLst/>
          </c:spPr>
        </c:majorGridlines>
        <c:title>
          <c:tx>
            <c:strRef>
              <c:f>Analysis!$AS$97</c:f>
              <c:strCache>
                <c:ptCount val="1"/>
                <c:pt idx="0">
                  <c:v>Belt Width - Traverse Position (mm)</c:v>
                </c:pt>
              </c:strCache>
            </c:strRef>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30710848"/>
        <c:crosses val="autoZero"/>
        <c:crossBetween val="midCat"/>
        <c:majorUnit val="200"/>
      </c:valAx>
      <c:valAx>
        <c:axId val="630710848"/>
        <c:scaling>
          <c:orientation val="minMax"/>
          <c:max val="376"/>
          <c:min val="-377"/>
        </c:scaling>
        <c:delete val="0"/>
        <c:axPos val="l"/>
        <c:majorGridlines>
          <c:spPr>
            <a:ln w="9525" cap="flat" cmpd="sng" algn="ctr">
              <a:solidFill>
                <a:schemeClr val="bg1">
                  <a:lumMod val="7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Shear Stress (kPa)</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30710192"/>
        <c:crosses val="autoZero"/>
        <c:crossBetween val="midCat"/>
        <c:majorUnit val="75.2"/>
      </c:valAx>
      <c:valAx>
        <c:axId val="590956360"/>
        <c:scaling>
          <c:orientation val="minMax"/>
          <c:max val="2.4"/>
          <c:min val="-2.4"/>
        </c:scaling>
        <c:delete val="0"/>
        <c:axPos val="r"/>
        <c:title>
          <c:tx>
            <c:strRef>
              <c:f>Analysis!$AS$98</c:f>
              <c:strCache>
                <c:ptCount val="1"/>
                <c:pt idx="0">
                  <c:v>Radial Deviation (mm)</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963248"/>
        <c:crosses val="max"/>
        <c:crossBetween val="midCat"/>
        <c:majorUnit val="0.8"/>
      </c:valAx>
      <c:valAx>
        <c:axId val="590963248"/>
        <c:scaling>
          <c:orientation val="minMax"/>
        </c:scaling>
        <c:delete val="1"/>
        <c:axPos val="b"/>
        <c:numFmt formatCode="0" sourceLinked="1"/>
        <c:majorTickMark val="out"/>
        <c:minorTickMark val="none"/>
        <c:tickLblPos val="nextTo"/>
        <c:crossAx val="590956360"/>
        <c:crosses val="autoZero"/>
        <c:crossBetween val="midCat"/>
        <c:majorUnit val="1"/>
      </c:valAx>
      <c:spPr>
        <a:noFill/>
        <a:ln>
          <a:noFill/>
        </a:ln>
        <a:effectLst/>
      </c:spPr>
    </c:plotArea>
    <c:legend>
      <c:legendPos val="r"/>
      <c:layout>
        <c:manualLayout>
          <c:xMode val="edge"/>
          <c:yMode val="edge"/>
          <c:x val="7.9790010504886155E-2"/>
          <c:y val="0.88001886777431937"/>
          <c:w val="0.83176256501793544"/>
          <c:h val="7.171361934367753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t>Belt Transition - Induced Differential Shear and Tension</a:t>
            </a:r>
          </a:p>
        </c:rich>
      </c:tx>
      <c:layout>
        <c:manualLayout>
          <c:xMode val="edge"/>
          <c:yMode val="edge"/>
          <c:x val="0.24188655879263324"/>
          <c:y val="3.1372575264265658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7337743025547009E-2"/>
          <c:y val="0.11431144565364498"/>
          <c:w val="0.84614986565064576"/>
          <c:h val="0.67297509772233333"/>
        </c:manualLayout>
      </c:layout>
      <c:scatterChart>
        <c:scatterStyle val="lineMarker"/>
        <c:varyColors val="0"/>
        <c:ser>
          <c:idx val="3"/>
          <c:order val="0"/>
          <c:tx>
            <c:strRef>
              <c:f>Analysis!$BX$105</c:f>
              <c:strCache>
                <c:ptCount val="1"/>
                <c:pt idx="0">
                  <c:v>Baseline Tension</c:v>
                </c:pt>
              </c:strCache>
            </c:strRef>
          </c:tx>
          <c:spPr>
            <a:ln w="19050" cap="rnd">
              <a:solidFill>
                <a:schemeClr val="accent4"/>
              </a:solidFill>
              <a:round/>
            </a:ln>
            <a:effectLst/>
          </c:spPr>
          <c:marker>
            <c:symbol val="none"/>
          </c:marker>
          <c:xVal>
            <c:numRef>
              <c:f>Analysis!$BW$106:$BW$206</c:f>
              <c:numCache>
                <c:formatCode>0</c:formatCode>
                <c:ptCount val="10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pt idx="25">
                  <c:v>375</c:v>
                </c:pt>
                <c:pt idx="26">
                  <c:v>390</c:v>
                </c:pt>
                <c:pt idx="27">
                  <c:v>405</c:v>
                </c:pt>
                <c:pt idx="28">
                  <c:v>420</c:v>
                </c:pt>
                <c:pt idx="29">
                  <c:v>435</c:v>
                </c:pt>
                <c:pt idx="30">
                  <c:v>450</c:v>
                </c:pt>
                <c:pt idx="31">
                  <c:v>465</c:v>
                </c:pt>
                <c:pt idx="32">
                  <c:v>480</c:v>
                </c:pt>
                <c:pt idx="33">
                  <c:v>495</c:v>
                </c:pt>
                <c:pt idx="34">
                  <c:v>510</c:v>
                </c:pt>
                <c:pt idx="35">
                  <c:v>525</c:v>
                </c:pt>
                <c:pt idx="36">
                  <c:v>540</c:v>
                </c:pt>
                <c:pt idx="37">
                  <c:v>555</c:v>
                </c:pt>
                <c:pt idx="38">
                  <c:v>570</c:v>
                </c:pt>
                <c:pt idx="39">
                  <c:v>585</c:v>
                </c:pt>
                <c:pt idx="40">
                  <c:v>600</c:v>
                </c:pt>
                <c:pt idx="41">
                  <c:v>615</c:v>
                </c:pt>
                <c:pt idx="42">
                  <c:v>630</c:v>
                </c:pt>
                <c:pt idx="43">
                  <c:v>645</c:v>
                </c:pt>
                <c:pt idx="44">
                  <c:v>660</c:v>
                </c:pt>
                <c:pt idx="45">
                  <c:v>675</c:v>
                </c:pt>
                <c:pt idx="46">
                  <c:v>690</c:v>
                </c:pt>
                <c:pt idx="47">
                  <c:v>705</c:v>
                </c:pt>
                <c:pt idx="48">
                  <c:v>720</c:v>
                </c:pt>
                <c:pt idx="49">
                  <c:v>735</c:v>
                </c:pt>
                <c:pt idx="50">
                  <c:v>750</c:v>
                </c:pt>
                <c:pt idx="51">
                  <c:v>765</c:v>
                </c:pt>
                <c:pt idx="52">
                  <c:v>780</c:v>
                </c:pt>
                <c:pt idx="53">
                  <c:v>795</c:v>
                </c:pt>
                <c:pt idx="54">
                  <c:v>810</c:v>
                </c:pt>
                <c:pt idx="55">
                  <c:v>825</c:v>
                </c:pt>
                <c:pt idx="56">
                  <c:v>840</c:v>
                </c:pt>
                <c:pt idx="57">
                  <c:v>855</c:v>
                </c:pt>
                <c:pt idx="58">
                  <c:v>870</c:v>
                </c:pt>
                <c:pt idx="59">
                  <c:v>885</c:v>
                </c:pt>
                <c:pt idx="60">
                  <c:v>900</c:v>
                </c:pt>
                <c:pt idx="61">
                  <c:v>915</c:v>
                </c:pt>
                <c:pt idx="62">
                  <c:v>930</c:v>
                </c:pt>
                <c:pt idx="63">
                  <c:v>945</c:v>
                </c:pt>
                <c:pt idx="64">
                  <c:v>960</c:v>
                </c:pt>
                <c:pt idx="65">
                  <c:v>975</c:v>
                </c:pt>
                <c:pt idx="66">
                  <c:v>990</c:v>
                </c:pt>
                <c:pt idx="67">
                  <c:v>1005</c:v>
                </c:pt>
                <c:pt idx="68">
                  <c:v>1020</c:v>
                </c:pt>
                <c:pt idx="69">
                  <c:v>1035</c:v>
                </c:pt>
                <c:pt idx="70">
                  <c:v>1050</c:v>
                </c:pt>
                <c:pt idx="71">
                  <c:v>1065</c:v>
                </c:pt>
                <c:pt idx="72">
                  <c:v>1080</c:v>
                </c:pt>
                <c:pt idx="73">
                  <c:v>1095</c:v>
                </c:pt>
                <c:pt idx="74">
                  <c:v>1110</c:v>
                </c:pt>
                <c:pt idx="75">
                  <c:v>1125</c:v>
                </c:pt>
                <c:pt idx="76">
                  <c:v>1140</c:v>
                </c:pt>
                <c:pt idx="77">
                  <c:v>1155</c:v>
                </c:pt>
                <c:pt idx="78">
                  <c:v>1170</c:v>
                </c:pt>
                <c:pt idx="79">
                  <c:v>1185</c:v>
                </c:pt>
                <c:pt idx="80">
                  <c:v>1200</c:v>
                </c:pt>
                <c:pt idx="81">
                  <c:v>1215</c:v>
                </c:pt>
                <c:pt idx="82">
                  <c:v>1230</c:v>
                </c:pt>
                <c:pt idx="83">
                  <c:v>1245</c:v>
                </c:pt>
                <c:pt idx="84">
                  <c:v>1260</c:v>
                </c:pt>
                <c:pt idx="85">
                  <c:v>1275</c:v>
                </c:pt>
                <c:pt idx="86">
                  <c:v>1290</c:v>
                </c:pt>
                <c:pt idx="87">
                  <c:v>1305</c:v>
                </c:pt>
                <c:pt idx="88">
                  <c:v>1320</c:v>
                </c:pt>
                <c:pt idx="89">
                  <c:v>1335</c:v>
                </c:pt>
                <c:pt idx="90">
                  <c:v>1350</c:v>
                </c:pt>
                <c:pt idx="91">
                  <c:v>1365</c:v>
                </c:pt>
                <c:pt idx="92">
                  <c:v>1380</c:v>
                </c:pt>
                <c:pt idx="93">
                  <c:v>1395</c:v>
                </c:pt>
                <c:pt idx="94">
                  <c:v>1410</c:v>
                </c:pt>
                <c:pt idx="95">
                  <c:v>1425</c:v>
                </c:pt>
                <c:pt idx="96">
                  <c:v>1440</c:v>
                </c:pt>
                <c:pt idx="97">
                  <c:v>1455</c:v>
                </c:pt>
                <c:pt idx="98">
                  <c:v>1470</c:v>
                </c:pt>
                <c:pt idx="99">
                  <c:v>1485</c:v>
                </c:pt>
                <c:pt idx="100">
                  <c:v>1500</c:v>
                </c:pt>
              </c:numCache>
            </c:numRef>
          </c:xVal>
          <c:yVal>
            <c:numRef>
              <c:f>Analysis!$BX$106:$BX$206</c:f>
              <c:numCache>
                <c:formatCode>0</c:formatCode>
                <c:ptCount val="101"/>
                <c:pt idx="0">
                  <c:v>979</c:v>
                </c:pt>
                <c:pt idx="1">
                  <c:v>979</c:v>
                </c:pt>
                <c:pt idx="2">
                  <c:v>979</c:v>
                </c:pt>
                <c:pt idx="3">
                  <c:v>979</c:v>
                </c:pt>
                <c:pt idx="4">
                  <c:v>979</c:v>
                </c:pt>
                <c:pt idx="5">
                  <c:v>979</c:v>
                </c:pt>
                <c:pt idx="6">
                  <c:v>979</c:v>
                </c:pt>
                <c:pt idx="7">
                  <c:v>979</c:v>
                </c:pt>
                <c:pt idx="8">
                  <c:v>979</c:v>
                </c:pt>
                <c:pt idx="9">
                  <c:v>979</c:v>
                </c:pt>
                <c:pt idx="10">
                  <c:v>979</c:v>
                </c:pt>
                <c:pt idx="11">
                  <c:v>979</c:v>
                </c:pt>
                <c:pt idx="12">
                  <c:v>979</c:v>
                </c:pt>
                <c:pt idx="13">
                  <c:v>979</c:v>
                </c:pt>
                <c:pt idx="14">
                  <c:v>979</c:v>
                </c:pt>
                <c:pt idx="15">
                  <c:v>979</c:v>
                </c:pt>
                <c:pt idx="16">
                  <c:v>979</c:v>
                </c:pt>
                <c:pt idx="17">
                  <c:v>979</c:v>
                </c:pt>
                <c:pt idx="18">
                  <c:v>979</c:v>
                </c:pt>
                <c:pt idx="19">
                  <c:v>979</c:v>
                </c:pt>
                <c:pt idx="20">
                  <c:v>979</c:v>
                </c:pt>
                <c:pt idx="21">
                  <c:v>979</c:v>
                </c:pt>
                <c:pt idx="22">
                  <c:v>979</c:v>
                </c:pt>
                <c:pt idx="23">
                  <c:v>979</c:v>
                </c:pt>
                <c:pt idx="24">
                  <c:v>979</c:v>
                </c:pt>
                <c:pt idx="25">
                  <c:v>979</c:v>
                </c:pt>
                <c:pt idx="26">
                  <c:v>979</c:v>
                </c:pt>
                <c:pt idx="27">
                  <c:v>979</c:v>
                </c:pt>
                <c:pt idx="28">
                  <c:v>979</c:v>
                </c:pt>
                <c:pt idx="29">
                  <c:v>979</c:v>
                </c:pt>
                <c:pt idx="30">
                  <c:v>979</c:v>
                </c:pt>
                <c:pt idx="31">
                  <c:v>979</c:v>
                </c:pt>
                <c:pt idx="32">
                  <c:v>979</c:v>
                </c:pt>
                <c:pt idx="33">
                  <c:v>979</c:v>
                </c:pt>
                <c:pt idx="34">
                  <c:v>979</c:v>
                </c:pt>
                <c:pt idx="35">
                  <c:v>979</c:v>
                </c:pt>
                <c:pt idx="36">
                  <c:v>979</c:v>
                </c:pt>
                <c:pt idx="37">
                  <c:v>979</c:v>
                </c:pt>
                <c:pt idx="38">
                  <c:v>979</c:v>
                </c:pt>
                <c:pt idx="39">
                  <c:v>979</c:v>
                </c:pt>
                <c:pt idx="40">
                  <c:v>979</c:v>
                </c:pt>
                <c:pt idx="41">
                  <c:v>979</c:v>
                </c:pt>
                <c:pt idx="42">
                  <c:v>979</c:v>
                </c:pt>
                <c:pt idx="43">
                  <c:v>979</c:v>
                </c:pt>
                <c:pt idx="44">
                  <c:v>979</c:v>
                </c:pt>
                <c:pt idx="45">
                  <c:v>979</c:v>
                </c:pt>
                <c:pt idx="46">
                  <c:v>979</c:v>
                </c:pt>
                <c:pt idx="47">
                  <c:v>979</c:v>
                </c:pt>
                <c:pt idx="48">
                  <c:v>979</c:v>
                </c:pt>
                <c:pt idx="49">
                  <c:v>979</c:v>
                </c:pt>
                <c:pt idx="50">
                  <c:v>979</c:v>
                </c:pt>
                <c:pt idx="51">
                  <c:v>979</c:v>
                </c:pt>
                <c:pt idx="52">
                  <c:v>979</c:v>
                </c:pt>
                <c:pt idx="53">
                  <c:v>979</c:v>
                </c:pt>
                <c:pt idx="54">
                  <c:v>979</c:v>
                </c:pt>
                <c:pt idx="55">
                  <c:v>979</c:v>
                </c:pt>
                <c:pt idx="56">
                  <c:v>979</c:v>
                </c:pt>
                <c:pt idx="57">
                  <c:v>979</c:v>
                </c:pt>
                <c:pt idx="58">
                  <c:v>979</c:v>
                </c:pt>
                <c:pt idx="59">
                  <c:v>979</c:v>
                </c:pt>
                <c:pt idx="60">
                  <c:v>979</c:v>
                </c:pt>
                <c:pt idx="61">
                  <c:v>979</c:v>
                </c:pt>
                <c:pt idx="62">
                  <c:v>979</c:v>
                </c:pt>
                <c:pt idx="63">
                  <c:v>979</c:v>
                </c:pt>
                <c:pt idx="64">
                  <c:v>979</c:v>
                </c:pt>
                <c:pt idx="65">
                  <c:v>979</c:v>
                </c:pt>
                <c:pt idx="66">
                  <c:v>979</c:v>
                </c:pt>
                <c:pt idx="67">
                  <c:v>979</c:v>
                </c:pt>
                <c:pt idx="68">
                  <c:v>979</c:v>
                </c:pt>
                <c:pt idx="69">
                  <c:v>979</c:v>
                </c:pt>
                <c:pt idx="70">
                  <c:v>979</c:v>
                </c:pt>
                <c:pt idx="71">
                  <c:v>979</c:v>
                </c:pt>
                <c:pt idx="72">
                  <c:v>979</c:v>
                </c:pt>
                <c:pt idx="73">
                  <c:v>979</c:v>
                </c:pt>
                <c:pt idx="74">
                  <c:v>979</c:v>
                </c:pt>
                <c:pt idx="75">
                  <c:v>979</c:v>
                </c:pt>
                <c:pt idx="76">
                  <c:v>979</c:v>
                </c:pt>
                <c:pt idx="77">
                  <c:v>979</c:v>
                </c:pt>
                <c:pt idx="78">
                  <c:v>979</c:v>
                </c:pt>
                <c:pt idx="79">
                  <c:v>979</c:v>
                </c:pt>
                <c:pt idx="80">
                  <c:v>979</c:v>
                </c:pt>
                <c:pt idx="81">
                  <c:v>979</c:v>
                </c:pt>
                <c:pt idx="82">
                  <c:v>979</c:v>
                </c:pt>
                <c:pt idx="83">
                  <c:v>979</c:v>
                </c:pt>
                <c:pt idx="84">
                  <c:v>979</c:v>
                </c:pt>
                <c:pt idx="85">
                  <c:v>979</c:v>
                </c:pt>
                <c:pt idx="86">
                  <c:v>979</c:v>
                </c:pt>
                <c:pt idx="87">
                  <c:v>979</c:v>
                </c:pt>
                <c:pt idx="88">
                  <c:v>979</c:v>
                </c:pt>
                <c:pt idx="89">
                  <c:v>979</c:v>
                </c:pt>
                <c:pt idx="90">
                  <c:v>979</c:v>
                </c:pt>
                <c:pt idx="91">
                  <c:v>979</c:v>
                </c:pt>
                <c:pt idx="92">
                  <c:v>979</c:v>
                </c:pt>
                <c:pt idx="93">
                  <c:v>979</c:v>
                </c:pt>
                <c:pt idx="94">
                  <c:v>979</c:v>
                </c:pt>
                <c:pt idx="95">
                  <c:v>979</c:v>
                </c:pt>
                <c:pt idx="96">
                  <c:v>979</c:v>
                </c:pt>
                <c:pt idx="97">
                  <c:v>979</c:v>
                </c:pt>
                <c:pt idx="98">
                  <c:v>979</c:v>
                </c:pt>
                <c:pt idx="99">
                  <c:v>979</c:v>
                </c:pt>
                <c:pt idx="100">
                  <c:v>979</c:v>
                </c:pt>
              </c:numCache>
            </c:numRef>
          </c:yVal>
          <c:smooth val="0"/>
          <c:extLst>
            <c:ext xmlns:c16="http://schemas.microsoft.com/office/drawing/2014/chart" uri="{C3380CC4-5D6E-409C-BE32-E72D297353CC}">
              <c16:uniqueId val="{00000000-AEAD-4D19-8225-ED9B391AFA83}"/>
            </c:ext>
          </c:extLst>
        </c:ser>
        <c:ser>
          <c:idx val="2"/>
          <c:order val="1"/>
          <c:tx>
            <c:strRef>
              <c:f>Analysis!$CA$105</c:f>
              <c:strCache>
                <c:ptCount val="1"/>
                <c:pt idx="0">
                  <c:v>Tension</c:v>
                </c:pt>
              </c:strCache>
            </c:strRef>
          </c:tx>
          <c:spPr>
            <a:ln w="19050" cap="rnd">
              <a:solidFill>
                <a:srgbClr val="FF0000"/>
              </a:solidFill>
              <a:round/>
            </a:ln>
            <a:effectLst/>
          </c:spPr>
          <c:marker>
            <c:symbol val="none"/>
          </c:marker>
          <c:xVal>
            <c:numRef>
              <c:f>Analysis!$BW$106:$BW$206</c:f>
              <c:numCache>
                <c:formatCode>0</c:formatCode>
                <c:ptCount val="10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pt idx="25">
                  <c:v>375</c:v>
                </c:pt>
                <c:pt idx="26">
                  <c:v>390</c:v>
                </c:pt>
                <c:pt idx="27">
                  <c:v>405</c:v>
                </c:pt>
                <c:pt idx="28">
                  <c:v>420</c:v>
                </c:pt>
                <c:pt idx="29">
                  <c:v>435</c:v>
                </c:pt>
                <c:pt idx="30">
                  <c:v>450</c:v>
                </c:pt>
                <c:pt idx="31">
                  <c:v>465</c:v>
                </c:pt>
                <c:pt idx="32">
                  <c:v>480</c:v>
                </c:pt>
                <c:pt idx="33">
                  <c:v>495</c:v>
                </c:pt>
                <c:pt idx="34">
                  <c:v>510</c:v>
                </c:pt>
                <c:pt idx="35">
                  <c:v>525</c:v>
                </c:pt>
                <c:pt idx="36">
                  <c:v>540</c:v>
                </c:pt>
                <c:pt idx="37">
                  <c:v>555</c:v>
                </c:pt>
                <c:pt idx="38">
                  <c:v>570</c:v>
                </c:pt>
                <c:pt idx="39">
                  <c:v>585</c:v>
                </c:pt>
                <c:pt idx="40">
                  <c:v>600</c:v>
                </c:pt>
                <c:pt idx="41">
                  <c:v>615</c:v>
                </c:pt>
                <c:pt idx="42">
                  <c:v>630</c:v>
                </c:pt>
                <c:pt idx="43">
                  <c:v>645</c:v>
                </c:pt>
                <c:pt idx="44">
                  <c:v>660</c:v>
                </c:pt>
                <c:pt idx="45">
                  <c:v>675</c:v>
                </c:pt>
                <c:pt idx="46">
                  <c:v>690</c:v>
                </c:pt>
                <c:pt idx="47">
                  <c:v>705</c:v>
                </c:pt>
                <c:pt idx="48">
                  <c:v>720</c:v>
                </c:pt>
                <c:pt idx="49">
                  <c:v>735</c:v>
                </c:pt>
                <c:pt idx="50">
                  <c:v>750</c:v>
                </c:pt>
                <c:pt idx="51">
                  <c:v>765</c:v>
                </c:pt>
                <c:pt idx="52">
                  <c:v>780</c:v>
                </c:pt>
                <c:pt idx="53">
                  <c:v>795</c:v>
                </c:pt>
                <c:pt idx="54">
                  <c:v>810</c:v>
                </c:pt>
                <c:pt idx="55">
                  <c:v>825</c:v>
                </c:pt>
                <c:pt idx="56">
                  <c:v>840</c:v>
                </c:pt>
                <c:pt idx="57">
                  <c:v>855</c:v>
                </c:pt>
                <c:pt idx="58">
                  <c:v>870</c:v>
                </c:pt>
                <c:pt idx="59">
                  <c:v>885</c:v>
                </c:pt>
                <c:pt idx="60">
                  <c:v>900</c:v>
                </c:pt>
                <c:pt idx="61">
                  <c:v>915</c:v>
                </c:pt>
                <c:pt idx="62">
                  <c:v>930</c:v>
                </c:pt>
                <c:pt idx="63">
                  <c:v>945</c:v>
                </c:pt>
                <c:pt idx="64">
                  <c:v>960</c:v>
                </c:pt>
                <c:pt idx="65">
                  <c:v>975</c:v>
                </c:pt>
                <c:pt idx="66">
                  <c:v>990</c:v>
                </c:pt>
                <c:pt idx="67">
                  <c:v>1005</c:v>
                </c:pt>
                <c:pt idx="68">
                  <c:v>1020</c:v>
                </c:pt>
                <c:pt idx="69">
                  <c:v>1035</c:v>
                </c:pt>
                <c:pt idx="70">
                  <c:v>1050</c:v>
                </c:pt>
                <c:pt idx="71">
                  <c:v>1065</c:v>
                </c:pt>
                <c:pt idx="72">
                  <c:v>1080</c:v>
                </c:pt>
                <c:pt idx="73">
                  <c:v>1095</c:v>
                </c:pt>
                <c:pt idx="74">
                  <c:v>1110</c:v>
                </c:pt>
                <c:pt idx="75">
                  <c:v>1125</c:v>
                </c:pt>
                <c:pt idx="76">
                  <c:v>1140</c:v>
                </c:pt>
                <c:pt idx="77">
                  <c:v>1155</c:v>
                </c:pt>
                <c:pt idx="78">
                  <c:v>1170</c:v>
                </c:pt>
                <c:pt idx="79">
                  <c:v>1185</c:v>
                </c:pt>
                <c:pt idx="80">
                  <c:v>1200</c:v>
                </c:pt>
                <c:pt idx="81">
                  <c:v>1215</c:v>
                </c:pt>
                <c:pt idx="82">
                  <c:v>1230</c:v>
                </c:pt>
                <c:pt idx="83">
                  <c:v>1245</c:v>
                </c:pt>
                <c:pt idx="84">
                  <c:v>1260</c:v>
                </c:pt>
                <c:pt idx="85">
                  <c:v>1275</c:v>
                </c:pt>
                <c:pt idx="86">
                  <c:v>1290</c:v>
                </c:pt>
                <c:pt idx="87">
                  <c:v>1305</c:v>
                </c:pt>
                <c:pt idx="88">
                  <c:v>1320</c:v>
                </c:pt>
                <c:pt idx="89">
                  <c:v>1335</c:v>
                </c:pt>
                <c:pt idx="90">
                  <c:v>1350</c:v>
                </c:pt>
                <c:pt idx="91">
                  <c:v>1365</c:v>
                </c:pt>
                <c:pt idx="92">
                  <c:v>1380</c:v>
                </c:pt>
                <c:pt idx="93">
                  <c:v>1395</c:v>
                </c:pt>
                <c:pt idx="94">
                  <c:v>1410</c:v>
                </c:pt>
                <c:pt idx="95">
                  <c:v>1425</c:v>
                </c:pt>
                <c:pt idx="96">
                  <c:v>1440</c:v>
                </c:pt>
                <c:pt idx="97">
                  <c:v>1455</c:v>
                </c:pt>
                <c:pt idx="98">
                  <c:v>1470</c:v>
                </c:pt>
                <c:pt idx="99">
                  <c:v>1485</c:v>
                </c:pt>
                <c:pt idx="100">
                  <c:v>1500</c:v>
                </c:pt>
              </c:numCache>
            </c:numRef>
          </c:xVal>
          <c:yVal>
            <c:numRef>
              <c:f>Analysis!$CA$106:$CA$206</c:f>
              <c:numCache>
                <c:formatCode>0.0</c:formatCode>
                <c:ptCount val="101"/>
                <c:pt idx="0">
                  <c:v>979</c:v>
                </c:pt>
                <c:pt idx="1">
                  <c:v>979</c:v>
                </c:pt>
                <c:pt idx="2">
                  <c:v>979</c:v>
                </c:pt>
                <c:pt idx="3">
                  <c:v>979</c:v>
                </c:pt>
                <c:pt idx="4">
                  <c:v>979</c:v>
                </c:pt>
                <c:pt idx="5">
                  <c:v>979</c:v>
                </c:pt>
                <c:pt idx="6">
                  <c:v>979</c:v>
                </c:pt>
                <c:pt idx="7">
                  <c:v>979</c:v>
                </c:pt>
                <c:pt idx="8">
                  <c:v>979</c:v>
                </c:pt>
                <c:pt idx="9">
                  <c:v>979</c:v>
                </c:pt>
                <c:pt idx="10">
                  <c:v>979</c:v>
                </c:pt>
                <c:pt idx="11">
                  <c:v>979</c:v>
                </c:pt>
                <c:pt idx="12">
                  <c:v>979</c:v>
                </c:pt>
                <c:pt idx="13">
                  <c:v>979</c:v>
                </c:pt>
                <c:pt idx="14">
                  <c:v>979</c:v>
                </c:pt>
                <c:pt idx="15">
                  <c:v>979</c:v>
                </c:pt>
                <c:pt idx="16">
                  <c:v>979</c:v>
                </c:pt>
                <c:pt idx="17">
                  <c:v>979</c:v>
                </c:pt>
                <c:pt idx="18">
                  <c:v>979</c:v>
                </c:pt>
                <c:pt idx="19">
                  <c:v>979</c:v>
                </c:pt>
                <c:pt idx="20">
                  <c:v>979</c:v>
                </c:pt>
                <c:pt idx="21">
                  <c:v>979</c:v>
                </c:pt>
                <c:pt idx="22">
                  <c:v>979</c:v>
                </c:pt>
                <c:pt idx="23">
                  <c:v>979</c:v>
                </c:pt>
                <c:pt idx="24">
                  <c:v>979</c:v>
                </c:pt>
                <c:pt idx="25">
                  <c:v>979</c:v>
                </c:pt>
                <c:pt idx="26">
                  <c:v>979</c:v>
                </c:pt>
                <c:pt idx="27">
                  <c:v>979</c:v>
                </c:pt>
                <c:pt idx="28">
                  <c:v>979</c:v>
                </c:pt>
                <c:pt idx="29">
                  <c:v>979</c:v>
                </c:pt>
                <c:pt idx="30">
                  <c:v>979</c:v>
                </c:pt>
                <c:pt idx="31">
                  <c:v>979</c:v>
                </c:pt>
                <c:pt idx="32">
                  <c:v>979</c:v>
                </c:pt>
                <c:pt idx="33">
                  <c:v>979</c:v>
                </c:pt>
                <c:pt idx="34">
                  <c:v>979</c:v>
                </c:pt>
                <c:pt idx="35">
                  <c:v>979</c:v>
                </c:pt>
                <c:pt idx="36">
                  <c:v>979</c:v>
                </c:pt>
                <c:pt idx="37">
                  <c:v>979</c:v>
                </c:pt>
                <c:pt idx="38">
                  <c:v>979</c:v>
                </c:pt>
                <c:pt idx="39">
                  <c:v>979</c:v>
                </c:pt>
                <c:pt idx="40">
                  <c:v>979</c:v>
                </c:pt>
                <c:pt idx="41">
                  <c:v>979</c:v>
                </c:pt>
                <c:pt idx="42">
                  <c:v>979</c:v>
                </c:pt>
                <c:pt idx="43">
                  <c:v>979</c:v>
                </c:pt>
                <c:pt idx="44">
                  <c:v>979</c:v>
                </c:pt>
                <c:pt idx="45">
                  <c:v>979</c:v>
                </c:pt>
                <c:pt idx="46">
                  <c:v>979</c:v>
                </c:pt>
                <c:pt idx="47">
                  <c:v>979</c:v>
                </c:pt>
                <c:pt idx="48">
                  <c:v>979</c:v>
                </c:pt>
                <c:pt idx="49">
                  <c:v>979</c:v>
                </c:pt>
                <c:pt idx="50">
                  <c:v>979</c:v>
                </c:pt>
                <c:pt idx="51">
                  <c:v>979</c:v>
                </c:pt>
                <c:pt idx="52">
                  <c:v>979</c:v>
                </c:pt>
                <c:pt idx="53">
                  <c:v>979</c:v>
                </c:pt>
                <c:pt idx="54">
                  <c:v>979</c:v>
                </c:pt>
                <c:pt idx="55">
                  <c:v>979</c:v>
                </c:pt>
                <c:pt idx="56">
                  <c:v>979</c:v>
                </c:pt>
                <c:pt idx="57">
                  <c:v>979</c:v>
                </c:pt>
                <c:pt idx="58">
                  <c:v>979</c:v>
                </c:pt>
                <c:pt idx="59">
                  <c:v>979</c:v>
                </c:pt>
                <c:pt idx="60">
                  <c:v>979</c:v>
                </c:pt>
                <c:pt idx="61">
                  <c:v>979</c:v>
                </c:pt>
                <c:pt idx="62">
                  <c:v>979</c:v>
                </c:pt>
                <c:pt idx="63">
                  <c:v>979</c:v>
                </c:pt>
                <c:pt idx="64">
                  <c:v>979</c:v>
                </c:pt>
                <c:pt idx="65">
                  <c:v>979</c:v>
                </c:pt>
                <c:pt idx="66">
                  <c:v>979</c:v>
                </c:pt>
                <c:pt idx="67">
                  <c:v>979</c:v>
                </c:pt>
                <c:pt idx="68">
                  <c:v>979</c:v>
                </c:pt>
                <c:pt idx="69">
                  <c:v>979</c:v>
                </c:pt>
                <c:pt idx="70">
                  <c:v>979</c:v>
                </c:pt>
                <c:pt idx="71">
                  <c:v>979</c:v>
                </c:pt>
                <c:pt idx="72">
                  <c:v>979</c:v>
                </c:pt>
                <c:pt idx="73">
                  <c:v>979</c:v>
                </c:pt>
                <c:pt idx="74">
                  <c:v>979</c:v>
                </c:pt>
                <c:pt idx="75">
                  <c:v>979</c:v>
                </c:pt>
                <c:pt idx="76">
                  <c:v>979</c:v>
                </c:pt>
                <c:pt idx="77">
                  <c:v>979</c:v>
                </c:pt>
                <c:pt idx="78">
                  <c:v>979</c:v>
                </c:pt>
                <c:pt idx="79">
                  <c:v>979</c:v>
                </c:pt>
                <c:pt idx="80">
                  <c:v>979</c:v>
                </c:pt>
                <c:pt idx="81">
                  <c:v>979</c:v>
                </c:pt>
                <c:pt idx="82">
                  <c:v>979</c:v>
                </c:pt>
                <c:pt idx="83">
                  <c:v>979</c:v>
                </c:pt>
                <c:pt idx="84">
                  <c:v>979</c:v>
                </c:pt>
                <c:pt idx="85">
                  <c:v>979</c:v>
                </c:pt>
                <c:pt idx="86">
                  <c:v>979</c:v>
                </c:pt>
                <c:pt idx="87">
                  <c:v>979</c:v>
                </c:pt>
                <c:pt idx="88">
                  <c:v>979</c:v>
                </c:pt>
                <c:pt idx="89">
                  <c:v>979</c:v>
                </c:pt>
                <c:pt idx="90">
                  <c:v>979</c:v>
                </c:pt>
                <c:pt idx="91">
                  <c:v>979</c:v>
                </c:pt>
                <c:pt idx="92">
                  <c:v>979</c:v>
                </c:pt>
                <c:pt idx="93">
                  <c:v>979</c:v>
                </c:pt>
                <c:pt idx="94">
                  <c:v>979</c:v>
                </c:pt>
                <c:pt idx="95">
                  <c:v>979</c:v>
                </c:pt>
                <c:pt idx="96">
                  <c:v>979</c:v>
                </c:pt>
                <c:pt idx="97">
                  <c:v>979</c:v>
                </c:pt>
                <c:pt idx="98">
                  <c:v>979</c:v>
                </c:pt>
                <c:pt idx="99">
                  <c:v>979</c:v>
                </c:pt>
                <c:pt idx="100">
                  <c:v>979</c:v>
                </c:pt>
              </c:numCache>
            </c:numRef>
          </c:yVal>
          <c:smooth val="0"/>
          <c:extLst>
            <c:ext xmlns:c16="http://schemas.microsoft.com/office/drawing/2014/chart" uri="{C3380CC4-5D6E-409C-BE32-E72D297353CC}">
              <c16:uniqueId val="{00000001-AEAD-4D19-8225-ED9B391AFA83}"/>
            </c:ext>
          </c:extLst>
        </c:ser>
        <c:dLbls>
          <c:showLegendKey val="0"/>
          <c:showVal val="0"/>
          <c:showCatName val="0"/>
          <c:showSerName val="0"/>
          <c:showPercent val="0"/>
          <c:showBubbleSize val="0"/>
        </c:dLbls>
        <c:axId val="630710192"/>
        <c:axId val="630710848"/>
      </c:scatterChart>
      <c:scatterChart>
        <c:scatterStyle val="lineMarker"/>
        <c:varyColors val="0"/>
        <c:ser>
          <c:idx val="0"/>
          <c:order val="2"/>
          <c:tx>
            <c:strRef>
              <c:f>Analysis!$BY$105</c:f>
              <c:strCache>
                <c:ptCount val="1"/>
                <c:pt idx="0">
                  <c:v>Transition Height</c:v>
                </c:pt>
              </c:strCache>
            </c:strRef>
          </c:tx>
          <c:spPr>
            <a:ln w="19050" cap="rnd">
              <a:solidFill>
                <a:schemeClr val="accent1"/>
              </a:solidFill>
              <a:round/>
            </a:ln>
            <a:effectLst/>
          </c:spPr>
          <c:marker>
            <c:symbol val="none"/>
          </c:marker>
          <c:xVal>
            <c:numRef>
              <c:f>Analysis!$BW$106:$BW$206</c:f>
              <c:numCache>
                <c:formatCode>0</c:formatCode>
                <c:ptCount val="10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pt idx="25">
                  <c:v>375</c:v>
                </c:pt>
                <c:pt idx="26">
                  <c:v>390</c:v>
                </c:pt>
                <c:pt idx="27">
                  <c:v>405</c:v>
                </c:pt>
                <c:pt idx="28">
                  <c:v>420</c:v>
                </c:pt>
                <c:pt idx="29">
                  <c:v>435</c:v>
                </c:pt>
                <c:pt idx="30">
                  <c:v>450</c:v>
                </c:pt>
                <c:pt idx="31">
                  <c:v>465</c:v>
                </c:pt>
                <c:pt idx="32">
                  <c:v>480</c:v>
                </c:pt>
                <c:pt idx="33">
                  <c:v>495</c:v>
                </c:pt>
                <c:pt idx="34">
                  <c:v>510</c:v>
                </c:pt>
                <c:pt idx="35">
                  <c:v>525</c:v>
                </c:pt>
                <c:pt idx="36">
                  <c:v>540</c:v>
                </c:pt>
                <c:pt idx="37">
                  <c:v>555</c:v>
                </c:pt>
                <c:pt idx="38">
                  <c:v>570</c:v>
                </c:pt>
                <c:pt idx="39">
                  <c:v>585</c:v>
                </c:pt>
                <c:pt idx="40">
                  <c:v>600</c:v>
                </c:pt>
                <c:pt idx="41">
                  <c:v>615</c:v>
                </c:pt>
                <c:pt idx="42">
                  <c:v>630</c:v>
                </c:pt>
                <c:pt idx="43">
                  <c:v>645</c:v>
                </c:pt>
                <c:pt idx="44">
                  <c:v>660</c:v>
                </c:pt>
                <c:pt idx="45">
                  <c:v>675</c:v>
                </c:pt>
                <c:pt idx="46">
                  <c:v>690</c:v>
                </c:pt>
                <c:pt idx="47">
                  <c:v>705</c:v>
                </c:pt>
                <c:pt idx="48">
                  <c:v>720</c:v>
                </c:pt>
                <c:pt idx="49">
                  <c:v>735</c:v>
                </c:pt>
                <c:pt idx="50">
                  <c:v>750</c:v>
                </c:pt>
                <c:pt idx="51">
                  <c:v>765</c:v>
                </c:pt>
                <c:pt idx="52">
                  <c:v>780</c:v>
                </c:pt>
                <c:pt idx="53">
                  <c:v>795</c:v>
                </c:pt>
                <c:pt idx="54">
                  <c:v>810</c:v>
                </c:pt>
                <c:pt idx="55">
                  <c:v>825</c:v>
                </c:pt>
                <c:pt idx="56">
                  <c:v>840</c:v>
                </c:pt>
                <c:pt idx="57">
                  <c:v>855</c:v>
                </c:pt>
                <c:pt idx="58">
                  <c:v>870</c:v>
                </c:pt>
                <c:pt idx="59">
                  <c:v>885</c:v>
                </c:pt>
                <c:pt idx="60">
                  <c:v>900</c:v>
                </c:pt>
                <c:pt idx="61">
                  <c:v>915</c:v>
                </c:pt>
                <c:pt idx="62">
                  <c:v>930</c:v>
                </c:pt>
                <c:pt idx="63">
                  <c:v>945</c:v>
                </c:pt>
                <c:pt idx="64">
                  <c:v>960</c:v>
                </c:pt>
                <c:pt idx="65">
                  <c:v>975</c:v>
                </c:pt>
                <c:pt idx="66">
                  <c:v>990</c:v>
                </c:pt>
                <c:pt idx="67">
                  <c:v>1005</c:v>
                </c:pt>
                <c:pt idx="68">
                  <c:v>1020</c:v>
                </c:pt>
                <c:pt idx="69">
                  <c:v>1035</c:v>
                </c:pt>
                <c:pt idx="70">
                  <c:v>1050</c:v>
                </c:pt>
                <c:pt idx="71">
                  <c:v>1065</c:v>
                </c:pt>
                <c:pt idx="72">
                  <c:v>1080</c:v>
                </c:pt>
                <c:pt idx="73">
                  <c:v>1095</c:v>
                </c:pt>
                <c:pt idx="74">
                  <c:v>1110</c:v>
                </c:pt>
                <c:pt idx="75">
                  <c:v>1125</c:v>
                </c:pt>
                <c:pt idx="76">
                  <c:v>1140</c:v>
                </c:pt>
                <c:pt idx="77">
                  <c:v>1155</c:v>
                </c:pt>
                <c:pt idx="78">
                  <c:v>1170</c:v>
                </c:pt>
                <c:pt idx="79">
                  <c:v>1185</c:v>
                </c:pt>
                <c:pt idx="80">
                  <c:v>1200</c:v>
                </c:pt>
                <c:pt idx="81">
                  <c:v>1215</c:v>
                </c:pt>
                <c:pt idx="82">
                  <c:v>1230</c:v>
                </c:pt>
                <c:pt idx="83">
                  <c:v>1245</c:v>
                </c:pt>
                <c:pt idx="84">
                  <c:v>1260</c:v>
                </c:pt>
                <c:pt idx="85">
                  <c:v>1275</c:v>
                </c:pt>
                <c:pt idx="86">
                  <c:v>1290</c:v>
                </c:pt>
                <c:pt idx="87">
                  <c:v>1305</c:v>
                </c:pt>
                <c:pt idx="88">
                  <c:v>1320</c:v>
                </c:pt>
                <c:pt idx="89">
                  <c:v>1335</c:v>
                </c:pt>
                <c:pt idx="90">
                  <c:v>1350</c:v>
                </c:pt>
                <c:pt idx="91">
                  <c:v>1365</c:v>
                </c:pt>
                <c:pt idx="92">
                  <c:v>1380</c:v>
                </c:pt>
                <c:pt idx="93">
                  <c:v>1395</c:v>
                </c:pt>
                <c:pt idx="94">
                  <c:v>1410</c:v>
                </c:pt>
                <c:pt idx="95">
                  <c:v>1425</c:v>
                </c:pt>
                <c:pt idx="96">
                  <c:v>1440</c:v>
                </c:pt>
                <c:pt idx="97">
                  <c:v>1455</c:v>
                </c:pt>
                <c:pt idx="98">
                  <c:v>1470</c:v>
                </c:pt>
                <c:pt idx="99">
                  <c:v>1485</c:v>
                </c:pt>
                <c:pt idx="100">
                  <c:v>1500</c:v>
                </c:pt>
              </c:numCache>
            </c:numRef>
          </c:xVal>
          <c:yVal>
            <c:numRef>
              <c:f>Analysis!$BY$106:$BY$206</c:f>
              <c:numCache>
                <c:formatCode>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2-AEAD-4D19-8225-ED9B391AFA83}"/>
            </c:ext>
          </c:extLst>
        </c:ser>
        <c:dLbls>
          <c:showLegendKey val="0"/>
          <c:showVal val="0"/>
          <c:showCatName val="0"/>
          <c:showSerName val="0"/>
          <c:showPercent val="0"/>
          <c:showBubbleSize val="0"/>
        </c:dLbls>
        <c:axId val="590963248"/>
        <c:axId val="590956360"/>
        <c:extLst>
          <c:ext xmlns:c15="http://schemas.microsoft.com/office/drawing/2012/chart" uri="{02D57815-91ED-43cb-92C2-25804820EDAC}">
            <c15:filteredScatterSeries>
              <c15:ser>
                <c:idx val="1"/>
                <c:order val="3"/>
                <c:tx>
                  <c:strRef>
                    <c:extLst>
                      <c:ext uri="{02D57815-91ED-43cb-92C2-25804820EDAC}">
                        <c15:formulaRef>
                          <c15:sqref>Analysis!$BZ$105</c15:sqref>
                        </c15:formulaRef>
                      </c:ext>
                    </c:extLst>
                    <c:strCache>
                      <c:ptCount val="1"/>
                      <c:pt idx="0">
                        <c:v>Differential Strain</c:v>
                      </c:pt>
                    </c:strCache>
                  </c:strRef>
                </c:tx>
                <c:spPr>
                  <a:ln w="19050" cap="rnd">
                    <a:solidFill>
                      <a:schemeClr val="accent2"/>
                    </a:solidFill>
                    <a:round/>
                  </a:ln>
                  <a:effectLst/>
                </c:spPr>
                <c:marker>
                  <c:symbol val="none"/>
                </c:marker>
                <c:xVal>
                  <c:numRef>
                    <c:extLst>
                      <c:ext uri="{02D57815-91ED-43cb-92C2-25804820EDAC}">
                        <c15:formulaRef>
                          <c15:sqref>Analysis!$BW$106:$BW$206</c15:sqref>
                        </c15:formulaRef>
                      </c:ext>
                    </c:extLst>
                    <c:numCache>
                      <c:formatCode>0</c:formatCode>
                      <c:ptCount val="10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pt idx="25">
                        <c:v>375</c:v>
                      </c:pt>
                      <c:pt idx="26">
                        <c:v>390</c:v>
                      </c:pt>
                      <c:pt idx="27">
                        <c:v>405</c:v>
                      </c:pt>
                      <c:pt idx="28">
                        <c:v>420</c:v>
                      </c:pt>
                      <c:pt idx="29">
                        <c:v>435</c:v>
                      </c:pt>
                      <c:pt idx="30">
                        <c:v>450</c:v>
                      </c:pt>
                      <c:pt idx="31">
                        <c:v>465</c:v>
                      </c:pt>
                      <c:pt idx="32">
                        <c:v>480</c:v>
                      </c:pt>
                      <c:pt idx="33">
                        <c:v>495</c:v>
                      </c:pt>
                      <c:pt idx="34">
                        <c:v>510</c:v>
                      </c:pt>
                      <c:pt idx="35">
                        <c:v>525</c:v>
                      </c:pt>
                      <c:pt idx="36">
                        <c:v>540</c:v>
                      </c:pt>
                      <c:pt idx="37">
                        <c:v>555</c:v>
                      </c:pt>
                      <c:pt idx="38">
                        <c:v>570</c:v>
                      </c:pt>
                      <c:pt idx="39">
                        <c:v>585</c:v>
                      </c:pt>
                      <c:pt idx="40">
                        <c:v>600</c:v>
                      </c:pt>
                      <c:pt idx="41">
                        <c:v>615</c:v>
                      </c:pt>
                      <c:pt idx="42">
                        <c:v>630</c:v>
                      </c:pt>
                      <c:pt idx="43">
                        <c:v>645</c:v>
                      </c:pt>
                      <c:pt idx="44">
                        <c:v>660</c:v>
                      </c:pt>
                      <c:pt idx="45">
                        <c:v>675</c:v>
                      </c:pt>
                      <c:pt idx="46">
                        <c:v>690</c:v>
                      </c:pt>
                      <c:pt idx="47">
                        <c:v>705</c:v>
                      </c:pt>
                      <c:pt idx="48">
                        <c:v>720</c:v>
                      </c:pt>
                      <c:pt idx="49">
                        <c:v>735</c:v>
                      </c:pt>
                      <c:pt idx="50">
                        <c:v>750</c:v>
                      </c:pt>
                      <c:pt idx="51">
                        <c:v>765</c:v>
                      </c:pt>
                      <c:pt idx="52">
                        <c:v>780</c:v>
                      </c:pt>
                      <c:pt idx="53">
                        <c:v>795</c:v>
                      </c:pt>
                      <c:pt idx="54">
                        <c:v>810</c:v>
                      </c:pt>
                      <c:pt idx="55">
                        <c:v>825</c:v>
                      </c:pt>
                      <c:pt idx="56">
                        <c:v>840</c:v>
                      </c:pt>
                      <c:pt idx="57">
                        <c:v>855</c:v>
                      </c:pt>
                      <c:pt idx="58">
                        <c:v>870</c:v>
                      </c:pt>
                      <c:pt idx="59">
                        <c:v>885</c:v>
                      </c:pt>
                      <c:pt idx="60">
                        <c:v>900</c:v>
                      </c:pt>
                      <c:pt idx="61">
                        <c:v>915</c:v>
                      </c:pt>
                      <c:pt idx="62">
                        <c:v>930</c:v>
                      </c:pt>
                      <c:pt idx="63">
                        <c:v>945</c:v>
                      </c:pt>
                      <c:pt idx="64">
                        <c:v>960</c:v>
                      </c:pt>
                      <c:pt idx="65">
                        <c:v>975</c:v>
                      </c:pt>
                      <c:pt idx="66">
                        <c:v>990</c:v>
                      </c:pt>
                      <c:pt idx="67">
                        <c:v>1005</c:v>
                      </c:pt>
                      <c:pt idx="68">
                        <c:v>1020</c:v>
                      </c:pt>
                      <c:pt idx="69">
                        <c:v>1035</c:v>
                      </c:pt>
                      <c:pt idx="70">
                        <c:v>1050</c:v>
                      </c:pt>
                      <c:pt idx="71">
                        <c:v>1065</c:v>
                      </c:pt>
                      <c:pt idx="72">
                        <c:v>1080</c:v>
                      </c:pt>
                      <c:pt idx="73">
                        <c:v>1095</c:v>
                      </c:pt>
                      <c:pt idx="74">
                        <c:v>1110</c:v>
                      </c:pt>
                      <c:pt idx="75">
                        <c:v>1125</c:v>
                      </c:pt>
                      <c:pt idx="76">
                        <c:v>1140</c:v>
                      </c:pt>
                      <c:pt idx="77">
                        <c:v>1155</c:v>
                      </c:pt>
                      <c:pt idx="78">
                        <c:v>1170</c:v>
                      </c:pt>
                      <c:pt idx="79">
                        <c:v>1185</c:v>
                      </c:pt>
                      <c:pt idx="80">
                        <c:v>1200</c:v>
                      </c:pt>
                      <c:pt idx="81">
                        <c:v>1215</c:v>
                      </c:pt>
                      <c:pt idx="82">
                        <c:v>1230</c:v>
                      </c:pt>
                      <c:pt idx="83">
                        <c:v>1245</c:v>
                      </c:pt>
                      <c:pt idx="84">
                        <c:v>1260</c:v>
                      </c:pt>
                      <c:pt idx="85">
                        <c:v>1275</c:v>
                      </c:pt>
                      <c:pt idx="86">
                        <c:v>1290</c:v>
                      </c:pt>
                      <c:pt idx="87">
                        <c:v>1305</c:v>
                      </c:pt>
                      <c:pt idx="88">
                        <c:v>1320</c:v>
                      </c:pt>
                      <c:pt idx="89">
                        <c:v>1335</c:v>
                      </c:pt>
                      <c:pt idx="90">
                        <c:v>1350</c:v>
                      </c:pt>
                      <c:pt idx="91">
                        <c:v>1365</c:v>
                      </c:pt>
                      <c:pt idx="92">
                        <c:v>1380</c:v>
                      </c:pt>
                      <c:pt idx="93">
                        <c:v>1395</c:v>
                      </c:pt>
                      <c:pt idx="94">
                        <c:v>1410</c:v>
                      </c:pt>
                      <c:pt idx="95">
                        <c:v>1425</c:v>
                      </c:pt>
                      <c:pt idx="96">
                        <c:v>1440</c:v>
                      </c:pt>
                      <c:pt idx="97">
                        <c:v>1455</c:v>
                      </c:pt>
                      <c:pt idx="98">
                        <c:v>1470</c:v>
                      </c:pt>
                      <c:pt idx="99">
                        <c:v>1485</c:v>
                      </c:pt>
                      <c:pt idx="100">
                        <c:v>1500</c:v>
                      </c:pt>
                    </c:numCache>
                  </c:numRef>
                </c:xVal>
                <c:yVal>
                  <c:numRef>
                    <c:extLst>
                      <c:ext uri="{02D57815-91ED-43cb-92C2-25804820EDAC}">
                        <c15:formulaRef>
                          <c15:sqref>Analysis!$BZ$106:$BZ$206</c15:sqref>
                        </c15:formulaRef>
                      </c:ext>
                    </c:extLst>
                    <c:numCache>
                      <c:formatCode>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3-AEAD-4D19-8225-ED9B391AFA83}"/>
                  </c:ext>
                </c:extLst>
              </c15:ser>
            </c15:filteredScatterSeries>
          </c:ext>
        </c:extLst>
      </c:scatterChart>
      <c:valAx>
        <c:axId val="630710192"/>
        <c:scaling>
          <c:orientation val="minMax"/>
          <c:max val="1500"/>
          <c:min val="0"/>
        </c:scaling>
        <c:delete val="0"/>
        <c:axPos val="b"/>
        <c:majorGridlines>
          <c:spPr>
            <a:ln w="9525" cap="flat" cmpd="sng" algn="ctr">
              <a:solidFill>
                <a:schemeClr val="tx1">
                  <a:lumMod val="15000"/>
                  <a:lumOff val="85000"/>
                </a:schemeClr>
              </a:solidFill>
              <a:round/>
            </a:ln>
            <a:effectLst/>
          </c:spPr>
        </c:majorGridlines>
        <c:title>
          <c:tx>
            <c:strRef>
              <c:f>Analysis!$BP$97</c:f>
              <c:strCache>
                <c:ptCount val="1"/>
                <c:pt idx="0">
                  <c:v>Belt Width - Traverse Position (mm)</c:v>
                </c:pt>
              </c:strCache>
            </c:strRef>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30710848"/>
        <c:crosses val="autoZero"/>
        <c:crossBetween val="midCat"/>
        <c:majorUnit val="200"/>
      </c:valAx>
      <c:valAx>
        <c:axId val="630710848"/>
        <c:scaling>
          <c:orientation val="minMax"/>
          <c:max val="982"/>
          <c:min val="976"/>
        </c:scaling>
        <c:delete val="0"/>
        <c:axPos val="l"/>
        <c:majorGridlines>
          <c:spPr>
            <a:ln w="9525" cap="flat" cmpd="sng" algn="ctr">
              <a:solidFill>
                <a:schemeClr val="bg1">
                  <a:lumMod val="75000"/>
                </a:schemeClr>
              </a:solidFill>
              <a:round/>
            </a:ln>
            <a:effectLst/>
          </c:spPr>
        </c:majorGridlines>
        <c:minorGridlines>
          <c:spPr>
            <a:ln w="9525" cap="flat" cmpd="sng" algn="ctr">
              <a:solidFill>
                <a:schemeClr val="tx1">
                  <a:lumMod val="5000"/>
                  <a:lumOff val="95000"/>
                </a:schemeClr>
              </a:solidFill>
              <a:round/>
            </a:ln>
            <a:effectLst/>
          </c:spPr>
        </c:minorGridlines>
        <c:title>
          <c:tx>
            <c:strRef>
              <c:f>Analysis!$BP$96</c:f>
              <c:strCache>
                <c:ptCount val="1"/>
                <c:pt idx="0">
                  <c:v>Tension (kN)</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30710192"/>
        <c:crosses val="autoZero"/>
        <c:crossBetween val="midCat"/>
        <c:majorUnit val="0.8"/>
      </c:valAx>
      <c:valAx>
        <c:axId val="590956360"/>
        <c:scaling>
          <c:orientation val="minMax"/>
          <c:max val="1"/>
          <c:min val="-1"/>
        </c:scaling>
        <c:delete val="0"/>
        <c:axPos val="r"/>
        <c:title>
          <c:tx>
            <c:strRef>
              <c:f>Analysis!$BP$98</c:f>
              <c:strCache>
                <c:ptCount val="1"/>
                <c:pt idx="0">
                  <c:v>Transition Height TOP (mm)</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963248"/>
        <c:crosses val="max"/>
        <c:crossBetween val="midCat"/>
        <c:majorUnit val="1"/>
      </c:valAx>
      <c:valAx>
        <c:axId val="590963248"/>
        <c:scaling>
          <c:orientation val="minMax"/>
        </c:scaling>
        <c:delete val="1"/>
        <c:axPos val="b"/>
        <c:numFmt formatCode="0" sourceLinked="1"/>
        <c:majorTickMark val="out"/>
        <c:minorTickMark val="none"/>
        <c:tickLblPos val="nextTo"/>
        <c:crossAx val="590956360"/>
        <c:crosses val="autoZero"/>
        <c:crossBetween val="midCat"/>
        <c:majorUnit val="1"/>
      </c:valAx>
      <c:spPr>
        <a:noFill/>
        <a:ln>
          <a:noFill/>
        </a:ln>
        <a:effectLst/>
      </c:spPr>
    </c:plotArea>
    <c:legend>
      <c:legendPos val="r"/>
      <c:layout>
        <c:manualLayout>
          <c:xMode val="edge"/>
          <c:yMode val="edge"/>
          <c:x val="9.0405427115321443E-2"/>
          <c:y val="0.89064303807634004"/>
          <c:w val="0.81846739136067792"/>
          <c:h val="8.68178517044390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t>Combined - Induced Differential Shear,</a:t>
            </a:r>
            <a:r>
              <a:rPr lang="en-US" sz="1600" baseline="0"/>
              <a:t> Tension and Safety Factor</a:t>
            </a:r>
            <a:endParaRPr lang="en-US" sz="1200"/>
          </a:p>
        </c:rich>
      </c:tx>
      <c:layout>
        <c:manualLayout>
          <c:xMode val="edge"/>
          <c:yMode val="edge"/>
          <c:x val="0.20767946370394105"/>
          <c:y val="2.712290904710437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7337743025547009E-2"/>
          <c:y val="0.11431144565364498"/>
          <c:w val="0.84614986565064576"/>
          <c:h val="0.67297509772233333"/>
        </c:manualLayout>
      </c:layout>
      <c:scatterChart>
        <c:scatterStyle val="lineMarker"/>
        <c:varyColors val="0"/>
        <c:ser>
          <c:idx val="3"/>
          <c:order val="0"/>
          <c:tx>
            <c:strRef>
              <c:f>Analysis!$BE$105</c:f>
              <c:strCache>
                <c:ptCount val="1"/>
                <c:pt idx="0">
                  <c:v>Baseline (kN)</c:v>
                </c:pt>
              </c:strCache>
            </c:strRef>
          </c:tx>
          <c:spPr>
            <a:ln w="19050" cap="rnd">
              <a:solidFill>
                <a:schemeClr val="accent4"/>
              </a:solidFill>
              <a:round/>
            </a:ln>
            <a:effectLst/>
          </c:spPr>
          <c:marker>
            <c:symbol val="none"/>
          </c:marker>
          <c:xVal>
            <c:numRef>
              <c:f>Analysis!$BD$106:$BD$206</c:f>
              <c:numCache>
                <c:formatCode>0</c:formatCode>
                <c:ptCount val="10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pt idx="25">
                  <c:v>375</c:v>
                </c:pt>
                <c:pt idx="26">
                  <c:v>390</c:v>
                </c:pt>
                <c:pt idx="27">
                  <c:v>405</c:v>
                </c:pt>
                <c:pt idx="28">
                  <c:v>420</c:v>
                </c:pt>
                <c:pt idx="29">
                  <c:v>435</c:v>
                </c:pt>
                <c:pt idx="30">
                  <c:v>450</c:v>
                </c:pt>
                <c:pt idx="31">
                  <c:v>465</c:v>
                </c:pt>
                <c:pt idx="32">
                  <c:v>480</c:v>
                </c:pt>
                <c:pt idx="33">
                  <c:v>495</c:v>
                </c:pt>
                <c:pt idx="34">
                  <c:v>510</c:v>
                </c:pt>
                <c:pt idx="35">
                  <c:v>525</c:v>
                </c:pt>
                <c:pt idx="36">
                  <c:v>540</c:v>
                </c:pt>
                <c:pt idx="37">
                  <c:v>555</c:v>
                </c:pt>
                <c:pt idx="38">
                  <c:v>570</c:v>
                </c:pt>
                <c:pt idx="39">
                  <c:v>585</c:v>
                </c:pt>
                <c:pt idx="40">
                  <c:v>600</c:v>
                </c:pt>
                <c:pt idx="41">
                  <c:v>615</c:v>
                </c:pt>
                <c:pt idx="42">
                  <c:v>630</c:v>
                </c:pt>
                <c:pt idx="43">
                  <c:v>645</c:v>
                </c:pt>
                <c:pt idx="44">
                  <c:v>660</c:v>
                </c:pt>
                <c:pt idx="45">
                  <c:v>675</c:v>
                </c:pt>
                <c:pt idx="46">
                  <c:v>690</c:v>
                </c:pt>
                <c:pt idx="47">
                  <c:v>705</c:v>
                </c:pt>
                <c:pt idx="48">
                  <c:v>720</c:v>
                </c:pt>
                <c:pt idx="49">
                  <c:v>735</c:v>
                </c:pt>
                <c:pt idx="50">
                  <c:v>750</c:v>
                </c:pt>
                <c:pt idx="51">
                  <c:v>765</c:v>
                </c:pt>
                <c:pt idx="52">
                  <c:v>780</c:v>
                </c:pt>
                <c:pt idx="53">
                  <c:v>795</c:v>
                </c:pt>
                <c:pt idx="54">
                  <c:v>810</c:v>
                </c:pt>
                <c:pt idx="55">
                  <c:v>825</c:v>
                </c:pt>
                <c:pt idx="56">
                  <c:v>840</c:v>
                </c:pt>
                <c:pt idx="57">
                  <c:v>855</c:v>
                </c:pt>
                <c:pt idx="58">
                  <c:v>870</c:v>
                </c:pt>
                <c:pt idx="59">
                  <c:v>885</c:v>
                </c:pt>
                <c:pt idx="60">
                  <c:v>900</c:v>
                </c:pt>
                <c:pt idx="61">
                  <c:v>915</c:v>
                </c:pt>
                <c:pt idx="62">
                  <c:v>930</c:v>
                </c:pt>
                <c:pt idx="63">
                  <c:v>945</c:v>
                </c:pt>
                <c:pt idx="64">
                  <c:v>960</c:v>
                </c:pt>
                <c:pt idx="65">
                  <c:v>975</c:v>
                </c:pt>
                <c:pt idx="66">
                  <c:v>990</c:v>
                </c:pt>
                <c:pt idx="67">
                  <c:v>1005</c:v>
                </c:pt>
                <c:pt idx="68">
                  <c:v>1020</c:v>
                </c:pt>
                <c:pt idx="69">
                  <c:v>1035</c:v>
                </c:pt>
                <c:pt idx="70">
                  <c:v>1050</c:v>
                </c:pt>
                <c:pt idx="71">
                  <c:v>1065</c:v>
                </c:pt>
                <c:pt idx="72">
                  <c:v>1080</c:v>
                </c:pt>
                <c:pt idx="73">
                  <c:v>1095</c:v>
                </c:pt>
                <c:pt idx="74">
                  <c:v>1110</c:v>
                </c:pt>
                <c:pt idx="75">
                  <c:v>1125</c:v>
                </c:pt>
                <c:pt idx="76">
                  <c:v>1140</c:v>
                </c:pt>
                <c:pt idx="77">
                  <c:v>1155</c:v>
                </c:pt>
                <c:pt idx="78">
                  <c:v>1170</c:v>
                </c:pt>
                <c:pt idx="79">
                  <c:v>1185</c:v>
                </c:pt>
                <c:pt idx="80">
                  <c:v>1200</c:v>
                </c:pt>
                <c:pt idx="81">
                  <c:v>1215</c:v>
                </c:pt>
                <c:pt idx="82">
                  <c:v>1230</c:v>
                </c:pt>
                <c:pt idx="83">
                  <c:v>1245</c:v>
                </c:pt>
                <c:pt idx="84">
                  <c:v>1260</c:v>
                </c:pt>
                <c:pt idx="85">
                  <c:v>1275</c:v>
                </c:pt>
                <c:pt idx="86">
                  <c:v>1290</c:v>
                </c:pt>
                <c:pt idx="87">
                  <c:v>1305</c:v>
                </c:pt>
                <c:pt idx="88">
                  <c:v>1320</c:v>
                </c:pt>
                <c:pt idx="89">
                  <c:v>1335</c:v>
                </c:pt>
                <c:pt idx="90">
                  <c:v>1350</c:v>
                </c:pt>
                <c:pt idx="91">
                  <c:v>1365</c:v>
                </c:pt>
                <c:pt idx="92">
                  <c:v>1380</c:v>
                </c:pt>
                <c:pt idx="93">
                  <c:v>1395</c:v>
                </c:pt>
                <c:pt idx="94">
                  <c:v>1410</c:v>
                </c:pt>
                <c:pt idx="95">
                  <c:v>1425</c:v>
                </c:pt>
                <c:pt idx="96">
                  <c:v>1440</c:v>
                </c:pt>
                <c:pt idx="97">
                  <c:v>1455</c:v>
                </c:pt>
                <c:pt idx="98">
                  <c:v>1470</c:v>
                </c:pt>
                <c:pt idx="99">
                  <c:v>1485</c:v>
                </c:pt>
                <c:pt idx="100">
                  <c:v>1500</c:v>
                </c:pt>
              </c:numCache>
            </c:numRef>
          </c:xVal>
          <c:yVal>
            <c:numRef>
              <c:f>Analysis!$BE$106:$BE$206</c:f>
              <c:numCache>
                <c:formatCode>0</c:formatCode>
                <c:ptCount val="101"/>
                <c:pt idx="0">
                  <c:v>979</c:v>
                </c:pt>
                <c:pt idx="1">
                  <c:v>979</c:v>
                </c:pt>
                <c:pt idx="2">
                  <c:v>979</c:v>
                </c:pt>
                <c:pt idx="3">
                  <c:v>979</c:v>
                </c:pt>
                <c:pt idx="4">
                  <c:v>979</c:v>
                </c:pt>
                <c:pt idx="5">
                  <c:v>979</c:v>
                </c:pt>
                <c:pt idx="6">
                  <c:v>979</c:v>
                </c:pt>
                <c:pt idx="7">
                  <c:v>979</c:v>
                </c:pt>
                <c:pt idx="8">
                  <c:v>979</c:v>
                </c:pt>
                <c:pt idx="9">
                  <c:v>979</c:v>
                </c:pt>
                <c:pt idx="10">
                  <c:v>979</c:v>
                </c:pt>
                <c:pt idx="11">
                  <c:v>979</c:v>
                </c:pt>
                <c:pt idx="12">
                  <c:v>979</c:v>
                </c:pt>
                <c:pt idx="13">
                  <c:v>979</c:v>
                </c:pt>
                <c:pt idx="14">
                  <c:v>979</c:v>
                </c:pt>
                <c:pt idx="15">
                  <c:v>979</c:v>
                </c:pt>
                <c:pt idx="16">
                  <c:v>979</c:v>
                </c:pt>
                <c:pt idx="17">
                  <c:v>979</c:v>
                </c:pt>
                <c:pt idx="18">
                  <c:v>979</c:v>
                </c:pt>
                <c:pt idx="19">
                  <c:v>979</c:v>
                </c:pt>
                <c:pt idx="20">
                  <c:v>979</c:v>
                </c:pt>
                <c:pt idx="21">
                  <c:v>979</c:v>
                </c:pt>
                <c:pt idx="22">
                  <c:v>979</c:v>
                </c:pt>
                <c:pt idx="23">
                  <c:v>979</c:v>
                </c:pt>
                <c:pt idx="24">
                  <c:v>979</c:v>
                </c:pt>
                <c:pt idx="25">
                  <c:v>979</c:v>
                </c:pt>
                <c:pt idx="26">
                  <c:v>979</c:v>
                </c:pt>
                <c:pt idx="27">
                  <c:v>979</c:v>
                </c:pt>
                <c:pt idx="28">
                  <c:v>979</c:v>
                </c:pt>
                <c:pt idx="29">
                  <c:v>979</c:v>
                </c:pt>
                <c:pt idx="30">
                  <c:v>979</c:v>
                </c:pt>
                <c:pt idx="31">
                  <c:v>979</c:v>
                </c:pt>
                <c:pt idx="32">
                  <c:v>979</c:v>
                </c:pt>
                <c:pt idx="33">
                  <c:v>979</c:v>
                </c:pt>
                <c:pt idx="34">
                  <c:v>979</c:v>
                </c:pt>
                <c:pt idx="35">
                  <c:v>979</c:v>
                </c:pt>
                <c:pt idx="36">
                  <c:v>979</c:v>
                </c:pt>
                <c:pt idx="37">
                  <c:v>979</c:v>
                </c:pt>
                <c:pt idx="38">
                  <c:v>979</c:v>
                </c:pt>
                <c:pt idx="39">
                  <c:v>979</c:v>
                </c:pt>
                <c:pt idx="40">
                  <c:v>979</c:v>
                </c:pt>
                <c:pt idx="41">
                  <c:v>979</c:v>
                </c:pt>
                <c:pt idx="42">
                  <c:v>979</c:v>
                </c:pt>
                <c:pt idx="43">
                  <c:v>979</c:v>
                </c:pt>
                <c:pt idx="44">
                  <c:v>979</c:v>
                </c:pt>
                <c:pt idx="45">
                  <c:v>979</c:v>
                </c:pt>
                <c:pt idx="46">
                  <c:v>979</c:v>
                </c:pt>
                <c:pt idx="47">
                  <c:v>979</c:v>
                </c:pt>
                <c:pt idx="48">
                  <c:v>979</c:v>
                </c:pt>
                <c:pt idx="49">
                  <c:v>979</c:v>
                </c:pt>
                <c:pt idx="50">
                  <c:v>979</c:v>
                </c:pt>
                <c:pt idx="51">
                  <c:v>979</c:v>
                </c:pt>
                <c:pt idx="52">
                  <c:v>979</c:v>
                </c:pt>
                <c:pt idx="53">
                  <c:v>979</c:v>
                </c:pt>
                <c:pt idx="54">
                  <c:v>979</c:v>
                </c:pt>
                <c:pt idx="55">
                  <c:v>979</c:v>
                </c:pt>
                <c:pt idx="56">
                  <c:v>979</c:v>
                </c:pt>
                <c:pt idx="57">
                  <c:v>979</c:v>
                </c:pt>
                <c:pt idx="58">
                  <c:v>979</c:v>
                </c:pt>
                <c:pt idx="59">
                  <c:v>979</c:v>
                </c:pt>
                <c:pt idx="60">
                  <c:v>979</c:v>
                </c:pt>
                <c:pt idx="61">
                  <c:v>979</c:v>
                </c:pt>
                <c:pt idx="62">
                  <c:v>979</c:v>
                </c:pt>
                <c:pt idx="63">
                  <c:v>979</c:v>
                </c:pt>
                <c:pt idx="64">
                  <c:v>979</c:v>
                </c:pt>
                <c:pt idx="65">
                  <c:v>979</c:v>
                </c:pt>
                <c:pt idx="66">
                  <c:v>979</c:v>
                </c:pt>
                <c:pt idx="67">
                  <c:v>979</c:v>
                </c:pt>
                <c:pt idx="68">
                  <c:v>979</c:v>
                </c:pt>
                <c:pt idx="69">
                  <c:v>979</c:v>
                </c:pt>
                <c:pt idx="70">
                  <c:v>979</c:v>
                </c:pt>
                <c:pt idx="71">
                  <c:v>979</c:v>
                </c:pt>
                <c:pt idx="72">
                  <c:v>979</c:v>
                </c:pt>
                <c:pt idx="73">
                  <c:v>979</c:v>
                </c:pt>
                <c:pt idx="74">
                  <c:v>979</c:v>
                </c:pt>
                <c:pt idx="75">
                  <c:v>979</c:v>
                </c:pt>
                <c:pt idx="76">
                  <c:v>979</c:v>
                </c:pt>
                <c:pt idx="77">
                  <c:v>979</c:v>
                </c:pt>
                <c:pt idx="78">
                  <c:v>979</c:v>
                </c:pt>
                <c:pt idx="79">
                  <c:v>979</c:v>
                </c:pt>
                <c:pt idx="80">
                  <c:v>979</c:v>
                </c:pt>
                <c:pt idx="81">
                  <c:v>979</c:v>
                </c:pt>
                <c:pt idx="82">
                  <c:v>979</c:v>
                </c:pt>
                <c:pt idx="83">
                  <c:v>979</c:v>
                </c:pt>
                <c:pt idx="84">
                  <c:v>979</c:v>
                </c:pt>
                <c:pt idx="85">
                  <c:v>979</c:v>
                </c:pt>
                <c:pt idx="86">
                  <c:v>979</c:v>
                </c:pt>
                <c:pt idx="87">
                  <c:v>979</c:v>
                </c:pt>
                <c:pt idx="88">
                  <c:v>979</c:v>
                </c:pt>
                <c:pt idx="89">
                  <c:v>979</c:v>
                </c:pt>
                <c:pt idx="90">
                  <c:v>979</c:v>
                </c:pt>
                <c:pt idx="91">
                  <c:v>979</c:v>
                </c:pt>
                <c:pt idx="92">
                  <c:v>979</c:v>
                </c:pt>
                <c:pt idx="93">
                  <c:v>979</c:v>
                </c:pt>
                <c:pt idx="94">
                  <c:v>979</c:v>
                </c:pt>
                <c:pt idx="95">
                  <c:v>979</c:v>
                </c:pt>
                <c:pt idx="96">
                  <c:v>979</c:v>
                </c:pt>
                <c:pt idx="97">
                  <c:v>979</c:v>
                </c:pt>
                <c:pt idx="98">
                  <c:v>979</c:v>
                </c:pt>
                <c:pt idx="99">
                  <c:v>979</c:v>
                </c:pt>
                <c:pt idx="100">
                  <c:v>979</c:v>
                </c:pt>
              </c:numCache>
            </c:numRef>
          </c:yVal>
          <c:smooth val="0"/>
          <c:extLst>
            <c:ext xmlns:c16="http://schemas.microsoft.com/office/drawing/2014/chart" uri="{C3380CC4-5D6E-409C-BE32-E72D297353CC}">
              <c16:uniqueId val="{00000000-4EA7-478D-A5D1-840C1C215C9F}"/>
            </c:ext>
          </c:extLst>
        </c:ser>
        <c:ser>
          <c:idx val="2"/>
          <c:order val="1"/>
          <c:tx>
            <c:strRef>
              <c:f>Analysis!$CC$105</c:f>
              <c:strCache>
                <c:ptCount val="1"/>
                <c:pt idx="0">
                  <c:v>Tension Combined (kN)</c:v>
                </c:pt>
              </c:strCache>
            </c:strRef>
          </c:tx>
          <c:spPr>
            <a:ln w="19050" cap="rnd">
              <a:solidFill>
                <a:srgbClr val="FF0000"/>
              </a:solidFill>
              <a:round/>
            </a:ln>
            <a:effectLst/>
          </c:spPr>
          <c:marker>
            <c:symbol val="none"/>
          </c:marker>
          <c:xVal>
            <c:numRef>
              <c:f>Analysis!$BD$106:$BD$206</c:f>
              <c:numCache>
                <c:formatCode>0</c:formatCode>
                <c:ptCount val="10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pt idx="25">
                  <c:v>375</c:v>
                </c:pt>
                <c:pt idx="26">
                  <c:v>390</c:v>
                </c:pt>
                <c:pt idx="27">
                  <c:v>405</c:v>
                </c:pt>
                <c:pt idx="28">
                  <c:v>420</c:v>
                </c:pt>
                <c:pt idx="29">
                  <c:v>435</c:v>
                </c:pt>
                <c:pt idx="30">
                  <c:v>450</c:v>
                </c:pt>
                <c:pt idx="31">
                  <c:v>465</c:v>
                </c:pt>
                <c:pt idx="32">
                  <c:v>480</c:v>
                </c:pt>
                <c:pt idx="33">
                  <c:v>495</c:v>
                </c:pt>
                <c:pt idx="34">
                  <c:v>510</c:v>
                </c:pt>
                <c:pt idx="35">
                  <c:v>525</c:v>
                </c:pt>
                <c:pt idx="36">
                  <c:v>540</c:v>
                </c:pt>
                <c:pt idx="37">
                  <c:v>555</c:v>
                </c:pt>
                <c:pt idx="38">
                  <c:v>570</c:v>
                </c:pt>
                <c:pt idx="39">
                  <c:v>585</c:v>
                </c:pt>
                <c:pt idx="40">
                  <c:v>600</c:v>
                </c:pt>
                <c:pt idx="41">
                  <c:v>615</c:v>
                </c:pt>
                <c:pt idx="42">
                  <c:v>630</c:v>
                </c:pt>
                <c:pt idx="43">
                  <c:v>645</c:v>
                </c:pt>
                <c:pt idx="44">
                  <c:v>660</c:v>
                </c:pt>
                <c:pt idx="45">
                  <c:v>675</c:v>
                </c:pt>
                <c:pt idx="46">
                  <c:v>690</c:v>
                </c:pt>
                <c:pt idx="47">
                  <c:v>705</c:v>
                </c:pt>
                <c:pt idx="48">
                  <c:v>720</c:v>
                </c:pt>
                <c:pt idx="49">
                  <c:v>735</c:v>
                </c:pt>
                <c:pt idx="50">
                  <c:v>750</c:v>
                </c:pt>
                <c:pt idx="51">
                  <c:v>765</c:v>
                </c:pt>
                <c:pt idx="52">
                  <c:v>780</c:v>
                </c:pt>
                <c:pt idx="53">
                  <c:v>795</c:v>
                </c:pt>
                <c:pt idx="54">
                  <c:v>810</c:v>
                </c:pt>
                <c:pt idx="55">
                  <c:v>825</c:v>
                </c:pt>
                <c:pt idx="56">
                  <c:v>840</c:v>
                </c:pt>
                <c:pt idx="57">
                  <c:v>855</c:v>
                </c:pt>
                <c:pt idx="58">
                  <c:v>870</c:v>
                </c:pt>
                <c:pt idx="59">
                  <c:v>885</c:v>
                </c:pt>
                <c:pt idx="60">
                  <c:v>900</c:v>
                </c:pt>
                <c:pt idx="61">
                  <c:v>915</c:v>
                </c:pt>
                <c:pt idx="62">
                  <c:v>930</c:v>
                </c:pt>
                <c:pt idx="63">
                  <c:v>945</c:v>
                </c:pt>
                <c:pt idx="64">
                  <c:v>960</c:v>
                </c:pt>
                <c:pt idx="65">
                  <c:v>975</c:v>
                </c:pt>
                <c:pt idx="66">
                  <c:v>990</c:v>
                </c:pt>
                <c:pt idx="67">
                  <c:v>1005</c:v>
                </c:pt>
                <c:pt idx="68">
                  <c:v>1020</c:v>
                </c:pt>
                <c:pt idx="69">
                  <c:v>1035</c:v>
                </c:pt>
                <c:pt idx="70">
                  <c:v>1050</c:v>
                </c:pt>
                <c:pt idx="71">
                  <c:v>1065</c:v>
                </c:pt>
                <c:pt idx="72">
                  <c:v>1080</c:v>
                </c:pt>
                <c:pt idx="73">
                  <c:v>1095</c:v>
                </c:pt>
                <c:pt idx="74">
                  <c:v>1110</c:v>
                </c:pt>
                <c:pt idx="75">
                  <c:v>1125</c:v>
                </c:pt>
                <c:pt idx="76">
                  <c:v>1140</c:v>
                </c:pt>
                <c:pt idx="77">
                  <c:v>1155</c:v>
                </c:pt>
                <c:pt idx="78">
                  <c:v>1170</c:v>
                </c:pt>
                <c:pt idx="79">
                  <c:v>1185</c:v>
                </c:pt>
                <c:pt idx="80">
                  <c:v>1200</c:v>
                </c:pt>
                <c:pt idx="81">
                  <c:v>1215</c:v>
                </c:pt>
                <c:pt idx="82">
                  <c:v>1230</c:v>
                </c:pt>
                <c:pt idx="83">
                  <c:v>1245</c:v>
                </c:pt>
                <c:pt idx="84">
                  <c:v>1260</c:v>
                </c:pt>
                <c:pt idx="85">
                  <c:v>1275</c:v>
                </c:pt>
                <c:pt idx="86">
                  <c:v>1290</c:v>
                </c:pt>
                <c:pt idx="87">
                  <c:v>1305</c:v>
                </c:pt>
                <c:pt idx="88">
                  <c:v>1320</c:v>
                </c:pt>
                <c:pt idx="89">
                  <c:v>1335</c:v>
                </c:pt>
                <c:pt idx="90">
                  <c:v>1350</c:v>
                </c:pt>
                <c:pt idx="91">
                  <c:v>1365</c:v>
                </c:pt>
                <c:pt idx="92">
                  <c:v>1380</c:v>
                </c:pt>
                <c:pt idx="93">
                  <c:v>1395</c:v>
                </c:pt>
                <c:pt idx="94">
                  <c:v>1410</c:v>
                </c:pt>
                <c:pt idx="95">
                  <c:v>1425</c:v>
                </c:pt>
                <c:pt idx="96">
                  <c:v>1440</c:v>
                </c:pt>
                <c:pt idx="97">
                  <c:v>1455</c:v>
                </c:pt>
                <c:pt idx="98">
                  <c:v>1470</c:v>
                </c:pt>
                <c:pt idx="99">
                  <c:v>1485</c:v>
                </c:pt>
                <c:pt idx="100">
                  <c:v>1500</c:v>
                </c:pt>
              </c:numCache>
            </c:numRef>
          </c:xVal>
          <c:yVal>
            <c:numRef>
              <c:f>Analysis!$CC$106:$CC$206</c:f>
              <c:numCache>
                <c:formatCode>#,##0.0</c:formatCode>
                <c:ptCount val="101"/>
                <c:pt idx="0">
                  <c:v>873.75142581633452</c:v>
                </c:pt>
                <c:pt idx="1">
                  <c:v>873.75142581633452</c:v>
                </c:pt>
                <c:pt idx="2">
                  <c:v>873.75142581633452</c:v>
                </c:pt>
                <c:pt idx="3">
                  <c:v>873.75142581633452</c:v>
                </c:pt>
                <c:pt idx="4">
                  <c:v>873.75142581633452</c:v>
                </c:pt>
                <c:pt idx="5">
                  <c:v>873.75142581633452</c:v>
                </c:pt>
                <c:pt idx="6">
                  <c:v>873.75142581633452</c:v>
                </c:pt>
                <c:pt idx="7">
                  <c:v>873.75142581633452</c:v>
                </c:pt>
                <c:pt idx="8">
                  <c:v>873.75142581633452</c:v>
                </c:pt>
                <c:pt idx="9">
                  <c:v>873.75142581633452</c:v>
                </c:pt>
                <c:pt idx="10">
                  <c:v>873.75142581633452</c:v>
                </c:pt>
                <c:pt idx="11">
                  <c:v>873.75142581633452</c:v>
                </c:pt>
                <c:pt idx="12">
                  <c:v>873.75142581633452</c:v>
                </c:pt>
                <c:pt idx="13">
                  <c:v>873.75142581633452</c:v>
                </c:pt>
                <c:pt idx="14">
                  <c:v>873.75142581633452</c:v>
                </c:pt>
                <c:pt idx="15">
                  <c:v>872.17573635208362</c:v>
                </c:pt>
                <c:pt idx="16">
                  <c:v>864.39230693232298</c:v>
                </c:pt>
                <c:pt idx="17">
                  <c:v>864.85210442557627</c:v>
                </c:pt>
                <c:pt idx="18">
                  <c:v>890.15784354706761</c:v>
                </c:pt>
                <c:pt idx="19">
                  <c:v>906.91709603206596</c:v>
                </c:pt>
                <c:pt idx="20">
                  <c:v>920.04696697211227</c:v>
                </c:pt>
                <c:pt idx="21">
                  <c:v>932.7463448476982</c:v>
                </c:pt>
                <c:pt idx="22">
                  <c:v>945.01523021215633</c:v>
                </c:pt>
                <c:pt idx="23">
                  <c:v>956.8536236037213</c:v>
                </c:pt>
                <c:pt idx="24">
                  <c:v>968.26152552128826</c:v>
                </c:pt>
                <c:pt idx="25">
                  <c:v>979.23893647635612</c:v>
                </c:pt>
                <c:pt idx="26">
                  <c:v>989.78585691338219</c:v>
                </c:pt>
                <c:pt idx="27">
                  <c:v>999.90228731482409</c:v>
                </c:pt>
                <c:pt idx="28">
                  <c:v>1009.5882281099485</c:v>
                </c:pt>
                <c:pt idx="29">
                  <c:v>1018.8436797140781</c:v>
                </c:pt>
                <c:pt idx="30">
                  <c:v>1027.668642529743</c:v>
                </c:pt>
                <c:pt idx="31">
                  <c:v>1036.0631169305266</c:v>
                </c:pt>
                <c:pt idx="32">
                  <c:v>1044.0271032899172</c:v>
                </c:pt>
                <c:pt idx="33">
                  <c:v>1051.5606019536099</c:v>
                </c:pt>
                <c:pt idx="34">
                  <c:v>1058.6636132268059</c:v>
                </c:pt>
                <c:pt idx="35">
                  <c:v>1065.3361374411611</c:v>
                </c:pt>
                <c:pt idx="36">
                  <c:v>1071.5781748739882</c:v>
                </c:pt>
                <c:pt idx="37">
                  <c:v>1077.3897257875033</c:v>
                </c:pt>
                <c:pt idx="38">
                  <c:v>1082.7707904449803</c:v>
                </c:pt>
                <c:pt idx="39">
                  <c:v>1087.7213690807471</c:v>
                </c:pt>
                <c:pt idx="40">
                  <c:v>1092.2414618897897</c:v>
                </c:pt>
                <c:pt idx="41">
                  <c:v>1096.3310690935491</c:v>
                </c:pt>
                <c:pt idx="42">
                  <c:v>1099.990190845273</c:v>
                </c:pt>
                <c:pt idx="43">
                  <c:v>1103.2188273096604</c:v>
                </c:pt>
                <c:pt idx="44">
                  <c:v>1106.0169786386182</c:v>
                </c:pt>
                <c:pt idx="45">
                  <c:v>1108.3846449424091</c:v>
                </c:pt>
                <c:pt idx="46">
                  <c:v>1110.3218263185017</c:v>
                </c:pt>
                <c:pt idx="47">
                  <c:v>1111.8285228642726</c:v>
                </c:pt>
                <c:pt idx="48">
                  <c:v>1112.9047346354523</c:v>
                </c:pt>
                <c:pt idx="49">
                  <c:v>1113.5504616738267</c:v>
                </c:pt>
                <c:pt idx="50">
                  <c:v>1113.7657040199356</c:v>
                </c:pt>
                <c:pt idx="51">
                  <c:v>1113.5504616738267</c:v>
                </c:pt>
                <c:pt idx="52">
                  <c:v>1112.9047346354523</c:v>
                </c:pt>
                <c:pt idx="53">
                  <c:v>1111.8285228642726</c:v>
                </c:pt>
                <c:pt idx="54">
                  <c:v>1110.3218263185017</c:v>
                </c:pt>
                <c:pt idx="55">
                  <c:v>1108.3846449424091</c:v>
                </c:pt>
                <c:pt idx="56">
                  <c:v>1106.0169786386182</c:v>
                </c:pt>
                <c:pt idx="57">
                  <c:v>1103.2188273096604</c:v>
                </c:pt>
                <c:pt idx="58">
                  <c:v>1099.990190845273</c:v>
                </c:pt>
                <c:pt idx="59">
                  <c:v>1096.3310690935491</c:v>
                </c:pt>
                <c:pt idx="60">
                  <c:v>1092.2414618897897</c:v>
                </c:pt>
                <c:pt idx="61">
                  <c:v>1087.7213690807471</c:v>
                </c:pt>
                <c:pt idx="62">
                  <c:v>1082.7707904449803</c:v>
                </c:pt>
                <c:pt idx="63">
                  <c:v>1077.3897257875033</c:v>
                </c:pt>
                <c:pt idx="64">
                  <c:v>1071.5781748739882</c:v>
                </c:pt>
                <c:pt idx="65">
                  <c:v>1065.3361374411611</c:v>
                </c:pt>
                <c:pt idx="66">
                  <c:v>1058.6636132268059</c:v>
                </c:pt>
                <c:pt idx="67">
                  <c:v>1051.5606019536099</c:v>
                </c:pt>
                <c:pt idx="68">
                  <c:v>1044.0271032899172</c:v>
                </c:pt>
                <c:pt idx="69">
                  <c:v>1036.0631169305266</c:v>
                </c:pt>
                <c:pt idx="70">
                  <c:v>1027.668642529743</c:v>
                </c:pt>
                <c:pt idx="71">
                  <c:v>1018.8436797140781</c:v>
                </c:pt>
                <c:pt idx="72">
                  <c:v>1009.5882281099485</c:v>
                </c:pt>
                <c:pt idx="73">
                  <c:v>999.90228731482409</c:v>
                </c:pt>
                <c:pt idx="74">
                  <c:v>989.78585691338219</c:v>
                </c:pt>
                <c:pt idx="75">
                  <c:v>979.23893647635612</c:v>
                </c:pt>
                <c:pt idx="76">
                  <c:v>968.26152552128826</c:v>
                </c:pt>
                <c:pt idx="77">
                  <c:v>956.8536236037213</c:v>
                </c:pt>
                <c:pt idx="78">
                  <c:v>945.01523021215633</c:v>
                </c:pt>
                <c:pt idx="79">
                  <c:v>932.7463448476982</c:v>
                </c:pt>
                <c:pt idx="80">
                  <c:v>920.04696697211227</c:v>
                </c:pt>
                <c:pt idx="81">
                  <c:v>906.91709603206596</c:v>
                </c:pt>
                <c:pt idx="82">
                  <c:v>890.15784354706761</c:v>
                </c:pt>
                <c:pt idx="83">
                  <c:v>864.85210442557627</c:v>
                </c:pt>
                <c:pt idx="84">
                  <c:v>864.39230693232298</c:v>
                </c:pt>
                <c:pt idx="85">
                  <c:v>872.17573635208362</c:v>
                </c:pt>
                <c:pt idx="86">
                  <c:v>873.75142581633452</c:v>
                </c:pt>
                <c:pt idx="87">
                  <c:v>873.75142581633452</c:v>
                </c:pt>
                <c:pt idx="88">
                  <c:v>873.75142581633452</c:v>
                </c:pt>
                <c:pt idx="89">
                  <c:v>873.75142581633452</c:v>
                </c:pt>
                <c:pt idx="90">
                  <c:v>873.75142581633452</c:v>
                </c:pt>
                <c:pt idx="91">
                  <c:v>873.75142581633452</c:v>
                </c:pt>
                <c:pt idx="92">
                  <c:v>873.75142581633452</c:v>
                </c:pt>
                <c:pt idx="93">
                  <c:v>873.75142581633452</c:v>
                </c:pt>
                <c:pt idx="94">
                  <c:v>873.75142581633452</c:v>
                </c:pt>
                <c:pt idx="95">
                  <c:v>873.75142581633452</c:v>
                </c:pt>
                <c:pt idx="96">
                  <c:v>873.75142581633452</c:v>
                </c:pt>
                <c:pt idx="97">
                  <c:v>873.75142581633452</c:v>
                </c:pt>
                <c:pt idx="98">
                  <c:v>873.75142581633452</c:v>
                </c:pt>
                <c:pt idx="99">
                  <c:v>873.75142581633452</c:v>
                </c:pt>
                <c:pt idx="100">
                  <c:v>873.75142581633452</c:v>
                </c:pt>
              </c:numCache>
            </c:numRef>
          </c:yVal>
          <c:smooth val="0"/>
          <c:extLst>
            <c:ext xmlns:c16="http://schemas.microsoft.com/office/drawing/2014/chart" uri="{C3380CC4-5D6E-409C-BE32-E72D297353CC}">
              <c16:uniqueId val="{00000001-4EA7-478D-A5D1-840C1C215C9F}"/>
            </c:ext>
          </c:extLst>
        </c:ser>
        <c:dLbls>
          <c:showLegendKey val="0"/>
          <c:showVal val="0"/>
          <c:showCatName val="0"/>
          <c:showSerName val="0"/>
          <c:showPercent val="0"/>
          <c:showBubbleSize val="0"/>
        </c:dLbls>
        <c:axId val="630710192"/>
        <c:axId val="630710848"/>
      </c:scatterChart>
      <c:scatterChart>
        <c:scatterStyle val="lineMarker"/>
        <c:varyColors val="0"/>
        <c:ser>
          <c:idx val="0"/>
          <c:order val="2"/>
          <c:tx>
            <c:strRef>
              <c:f>Analysis!$CD$105</c:f>
              <c:strCache>
                <c:ptCount val="1"/>
                <c:pt idx="0">
                  <c:v>S.F.</c:v>
                </c:pt>
              </c:strCache>
            </c:strRef>
          </c:tx>
          <c:spPr>
            <a:ln w="15875" cap="rnd">
              <a:solidFill>
                <a:srgbClr val="FF0000"/>
              </a:solidFill>
              <a:prstDash val="dash"/>
              <a:round/>
            </a:ln>
            <a:effectLst/>
          </c:spPr>
          <c:marker>
            <c:symbol val="none"/>
          </c:marker>
          <c:xVal>
            <c:numRef>
              <c:f>Analysis!$BD$106:$BD$206</c:f>
              <c:numCache>
                <c:formatCode>0</c:formatCode>
                <c:ptCount val="10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pt idx="25">
                  <c:v>375</c:v>
                </c:pt>
                <c:pt idx="26">
                  <c:v>390</c:v>
                </c:pt>
                <c:pt idx="27">
                  <c:v>405</c:v>
                </c:pt>
                <c:pt idx="28">
                  <c:v>420</c:v>
                </c:pt>
                <c:pt idx="29">
                  <c:v>435</c:v>
                </c:pt>
                <c:pt idx="30">
                  <c:v>450</c:v>
                </c:pt>
                <c:pt idx="31">
                  <c:v>465</c:v>
                </c:pt>
                <c:pt idx="32">
                  <c:v>480</c:v>
                </c:pt>
                <c:pt idx="33">
                  <c:v>495</c:v>
                </c:pt>
                <c:pt idx="34">
                  <c:v>510</c:v>
                </c:pt>
                <c:pt idx="35">
                  <c:v>525</c:v>
                </c:pt>
                <c:pt idx="36">
                  <c:v>540</c:v>
                </c:pt>
                <c:pt idx="37">
                  <c:v>555</c:v>
                </c:pt>
                <c:pt idx="38">
                  <c:v>570</c:v>
                </c:pt>
                <c:pt idx="39">
                  <c:v>585</c:v>
                </c:pt>
                <c:pt idx="40">
                  <c:v>600</c:v>
                </c:pt>
                <c:pt idx="41">
                  <c:v>615</c:v>
                </c:pt>
                <c:pt idx="42">
                  <c:v>630</c:v>
                </c:pt>
                <c:pt idx="43">
                  <c:v>645</c:v>
                </c:pt>
                <c:pt idx="44">
                  <c:v>660</c:v>
                </c:pt>
                <c:pt idx="45">
                  <c:v>675</c:v>
                </c:pt>
                <c:pt idx="46">
                  <c:v>690</c:v>
                </c:pt>
                <c:pt idx="47">
                  <c:v>705</c:v>
                </c:pt>
                <c:pt idx="48">
                  <c:v>720</c:v>
                </c:pt>
                <c:pt idx="49">
                  <c:v>735</c:v>
                </c:pt>
                <c:pt idx="50">
                  <c:v>750</c:v>
                </c:pt>
                <c:pt idx="51">
                  <c:v>765</c:v>
                </c:pt>
                <c:pt idx="52">
                  <c:v>780</c:v>
                </c:pt>
                <c:pt idx="53">
                  <c:v>795</c:v>
                </c:pt>
                <c:pt idx="54">
                  <c:v>810</c:v>
                </c:pt>
                <c:pt idx="55">
                  <c:v>825</c:v>
                </c:pt>
                <c:pt idx="56">
                  <c:v>840</c:v>
                </c:pt>
                <c:pt idx="57">
                  <c:v>855</c:v>
                </c:pt>
                <c:pt idx="58">
                  <c:v>870</c:v>
                </c:pt>
                <c:pt idx="59">
                  <c:v>885</c:v>
                </c:pt>
                <c:pt idx="60">
                  <c:v>900</c:v>
                </c:pt>
                <c:pt idx="61">
                  <c:v>915</c:v>
                </c:pt>
                <c:pt idx="62">
                  <c:v>930</c:v>
                </c:pt>
                <c:pt idx="63">
                  <c:v>945</c:v>
                </c:pt>
                <c:pt idx="64">
                  <c:v>960</c:v>
                </c:pt>
                <c:pt idx="65">
                  <c:v>975</c:v>
                </c:pt>
                <c:pt idx="66">
                  <c:v>990</c:v>
                </c:pt>
                <c:pt idx="67">
                  <c:v>1005</c:v>
                </c:pt>
                <c:pt idx="68">
                  <c:v>1020</c:v>
                </c:pt>
                <c:pt idx="69">
                  <c:v>1035</c:v>
                </c:pt>
                <c:pt idx="70">
                  <c:v>1050</c:v>
                </c:pt>
                <c:pt idx="71">
                  <c:v>1065</c:v>
                </c:pt>
                <c:pt idx="72">
                  <c:v>1080</c:v>
                </c:pt>
                <c:pt idx="73">
                  <c:v>1095</c:v>
                </c:pt>
                <c:pt idx="74">
                  <c:v>1110</c:v>
                </c:pt>
                <c:pt idx="75">
                  <c:v>1125</c:v>
                </c:pt>
                <c:pt idx="76">
                  <c:v>1140</c:v>
                </c:pt>
                <c:pt idx="77">
                  <c:v>1155</c:v>
                </c:pt>
                <c:pt idx="78">
                  <c:v>1170</c:v>
                </c:pt>
                <c:pt idx="79">
                  <c:v>1185</c:v>
                </c:pt>
                <c:pt idx="80">
                  <c:v>1200</c:v>
                </c:pt>
                <c:pt idx="81">
                  <c:v>1215</c:v>
                </c:pt>
                <c:pt idx="82">
                  <c:v>1230</c:v>
                </c:pt>
                <c:pt idx="83">
                  <c:v>1245</c:v>
                </c:pt>
                <c:pt idx="84">
                  <c:v>1260</c:v>
                </c:pt>
                <c:pt idx="85">
                  <c:v>1275</c:v>
                </c:pt>
                <c:pt idx="86">
                  <c:v>1290</c:v>
                </c:pt>
                <c:pt idx="87">
                  <c:v>1305</c:v>
                </c:pt>
                <c:pt idx="88">
                  <c:v>1320</c:v>
                </c:pt>
                <c:pt idx="89">
                  <c:v>1335</c:v>
                </c:pt>
                <c:pt idx="90">
                  <c:v>1350</c:v>
                </c:pt>
                <c:pt idx="91">
                  <c:v>1365</c:v>
                </c:pt>
                <c:pt idx="92">
                  <c:v>1380</c:v>
                </c:pt>
                <c:pt idx="93">
                  <c:v>1395</c:v>
                </c:pt>
                <c:pt idx="94">
                  <c:v>1410</c:v>
                </c:pt>
                <c:pt idx="95">
                  <c:v>1425</c:v>
                </c:pt>
                <c:pt idx="96">
                  <c:v>1440</c:v>
                </c:pt>
                <c:pt idx="97">
                  <c:v>1455</c:v>
                </c:pt>
                <c:pt idx="98">
                  <c:v>1470</c:v>
                </c:pt>
                <c:pt idx="99">
                  <c:v>1485</c:v>
                </c:pt>
                <c:pt idx="100">
                  <c:v>1500</c:v>
                </c:pt>
              </c:numCache>
            </c:numRef>
          </c:xVal>
          <c:yVal>
            <c:numRef>
              <c:f>Analysis!$CD$106:$CD$206</c:f>
              <c:numCache>
                <c:formatCode>0.00</c:formatCode>
                <c:ptCount val="101"/>
                <c:pt idx="0">
                  <c:v>10.815432994768493</c:v>
                </c:pt>
                <c:pt idx="1">
                  <c:v>10.815432994768493</c:v>
                </c:pt>
                <c:pt idx="2">
                  <c:v>10.815432994768493</c:v>
                </c:pt>
                <c:pt idx="3">
                  <c:v>10.815432994768493</c:v>
                </c:pt>
                <c:pt idx="4">
                  <c:v>10.815432994768493</c:v>
                </c:pt>
                <c:pt idx="5">
                  <c:v>10.815432994768493</c:v>
                </c:pt>
                <c:pt idx="6">
                  <c:v>10.815432994768493</c:v>
                </c:pt>
                <c:pt idx="7">
                  <c:v>10.815432994768493</c:v>
                </c:pt>
                <c:pt idx="8">
                  <c:v>10.815432994768493</c:v>
                </c:pt>
                <c:pt idx="9">
                  <c:v>10.815432994768493</c:v>
                </c:pt>
                <c:pt idx="10">
                  <c:v>10.815432994768493</c:v>
                </c:pt>
                <c:pt idx="11">
                  <c:v>10.815432994768493</c:v>
                </c:pt>
                <c:pt idx="12">
                  <c:v>10.815432994768493</c:v>
                </c:pt>
                <c:pt idx="13">
                  <c:v>10.815432994768493</c:v>
                </c:pt>
                <c:pt idx="14">
                  <c:v>10.815432994768493</c:v>
                </c:pt>
                <c:pt idx="15">
                  <c:v>10.834972364084644</c:v>
                </c:pt>
                <c:pt idx="16">
                  <c:v>10.932535984196214</c:v>
                </c:pt>
                <c:pt idx="17">
                  <c:v>10.926723715700003</c:v>
                </c:pt>
                <c:pt idx="18">
                  <c:v>10.616094739270054</c:v>
                </c:pt>
                <c:pt idx="19">
                  <c:v>10.419916044526605</c:v>
                </c:pt>
                <c:pt idx="20">
                  <c:v>10.271214774067552</c:v>
                </c:pt>
                <c:pt idx="21">
                  <c:v>10.13137178419394</c:v>
                </c:pt>
                <c:pt idx="22">
                  <c:v>9.999838836331211</c:v>
                </c:pt>
                <c:pt idx="23">
                  <c:v>9.8761187363321259</c:v>
                </c:pt>
                <c:pt idx="24">
                  <c:v>9.7597598901932532</c:v>
                </c:pt>
                <c:pt idx="25">
                  <c:v>9.6503515618000257</c:v>
                </c:pt>
                <c:pt idx="26">
                  <c:v>9.5475197326718177</c:v>
                </c:pt>
                <c:pt idx="27">
                  <c:v>9.4509234751101445</c:v>
                </c:pt>
                <c:pt idx="28">
                  <c:v>9.3602517708544966</c:v>
                </c:pt>
                <c:pt idx="29">
                  <c:v>9.2752207116326115</c:v>
                </c:pt>
                <c:pt idx="30">
                  <c:v>9.1955710322517668</c:v>
                </c:pt>
                <c:pt idx="31">
                  <c:v>9.1210659327366752</c:v>
                </c:pt>
                <c:pt idx="32">
                  <c:v>9.0514891521698519</c:v>
                </c:pt>
                <c:pt idx="33">
                  <c:v>8.9866432637772888</c:v>
                </c:pt>
                <c:pt idx="34">
                  <c:v>8.9263481637915252</c:v>
                </c:pt>
                <c:pt idx="35">
                  <c:v>8.8704397305981058</c:v>
                </c:pt>
                <c:pt idx="36">
                  <c:v>8.8187686363724875</c:v>
                </c:pt>
                <c:pt idx="37">
                  <c:v>8.7711992919671218</c:v>
                </c:pt>
                <c:pt idx="38">
                  <c:v>8.7276089116851647</c:v>
                </c:pt>
                <c:pt idx="39">
                  <c:v>8.6878866855271628</c:v>
                </c:pt>
                <c:pt idx="40">
                  <c:v>8.6519330475238192</c:v>
                </c:pt>
                <c:pt idx="41">
                  <c:v>8.6196590303814862</c:v>
                </c:pt>
                <c:pt idx="42">
                  <c:v>8.5909857002799921</c:v>
                </c:pt>
                <c:pt idx="43">
                  <c:v>8.5658436622632959</c:v>
                </c:pt>
                <c:pt idx="44">
                  <c:v>8.5441726325321703</c:v>
                </c:pt>
                <c:pt idx="45">
                  <c:v>8.5259210718234151</c:v>
                </c:pt>
                <c:pt idx="46">
                  <c:v>8.5110458751706251</c:v>
                </c:pt>
                <c:pt idx="47">
                  <c:v>8.4995121151012398</c:v>
                </c:pt>
                <c:pt idx="48">
                  <c:v>8.4912928356760755</c:v>
                </c:pt>
                <c:pt idx="49">
                  <c:v>8.4863688941364082</c:v>
                </c:pt>
                <c:pt idx="50">
                  <c:v>8.4847288490675705</c:v>
                </c:pt>
                <c:pt idx="51">
                  <c:v>8.4863688941364082</c:v>
                </c:pt>
                <c:pt idx="52">
                  <c:v>8.4912928356760755</c:v>
                </c:pt>
                <c:pt idx="53">
                  <c:v>8.4995121151012398</c:v>
                </c:pt>
                <c:pt idx="54">
                  <c:v>8.5110458751706251</c:v>
                </c:pt>
                <c:pt idx="55">
                  <c:v>8.5259210718234151</c:v>
                </c:pt>
                <c:pt idx="56">
                  <c:v>8.5441726325321703</c:v>
                </c:pt>
                <c:pt idx="57">
                  <c:v>8.5658436622632959</c:v>
                </c:pt>
                <c:pt idx="58">
                  <c:v>8.5909857002799921</c:v>
                </c:pt>
                <c:pt idx="59">
                  <c:v>8.6196590303814862</c:v>
                </c:pt>
                <c:pt idx="60">
                  <c:v>8.6519330475238192</c:v>
                </c:pt>
                <c:pt idx="61">
                  <c:v>8.6878866855271628</c:v>
                </c:pt>
                <c:pt idx="62">
                  <c:v>8.7276089116851647</c:v>
                </c:pt>
                <c:pt idx="63">
                  <c:v>8.7711992919671218</c:v>
                </c:pt>
                <c:pt idx="64">
                  <c:v>8.8187686363724875</c:v>
                </c:pt>
                <c:pt idx="65">
                  <c:v>8.8704397305981058</c:v>
                </c:pt>
                <c:pt idx="66">
                  <c:v>8.9263481637915252</c:v>
                </c:pt>
                <c:pt idx="67">
                  <c:v>8.9866432637772888</c:v>
                </c:pt>
                <c:pt idx="68">
                  <c:v>9.0514891521698519</c:v>
                </c:pt>
                <c:pt idx="69">
                  <c:v>9.1210659327366752</c:v>
                </c:pt>
                <c:pt idx="70">
                  <c:v>9.1955710322517668</c:v>
                </c:pt>
                <c:pt idx="71">
                  <c:v>9.2752207116326115</c:v>
                </c:pt>
                <c:pt idx="72">
                  <c:v>9.3602517708544966</c:v>
                </c:pt>
                <c:pt idx="73">
                  <c:v>9.4509234751101445</c:v>
                </c:pt>
                <c:pt idx="74">
                  <c:v>9.5475197326718177</c:v>
                </c:pt>
                <c:pt idx="75">
                  <c:v>9.6503515618000257</c:v>
                </c:pt>
                <c:pt idx="76">
                  <c:v>9.7597598901932532</c:v>
                </c:pt>
                <c:pt idx="77">
                  <c:v>9.8761187363321259</c:v>
                </c:pt>
                <c:pt idx="78">
                  <c:v>9.999838836331211</c:v>
                </c:pt>
                <c:pt idx="79">
                  <c:v>10.13137178419394</c:v>
                </c:pt>
                <c:pt idx="80">
                  <c:v>10.271214774067552</c:v>
                </c:pt>
                <c:pt idx="81">
                  <c:v>10.419916044526605</c:v>
                </c:pt>
                <c:pt idx="82">
                  <c:v>10.616094739270054</c:v>
                </c:pt>
                <c:pt idx="83">
                  <c:v>10.926723715700003</c:v>
                </c:pt>
                <c:pt idx="84">
                  <c:v>10.932535984196214</c:v>
                </c:pt>
                <c:pt idx="85">
                  <c:v>10.834972364084644</c:v>
                </c:pt>
                <c:pt idx="86">
                  <c:v>10.815432994768493</c:v>
                </c:pt>
                <c:pt idx="87">
                  <c:v>10.815432994768493</c:v>
                </c:pt>
                <c:pt idx="88">
                  <c:v>10.815432994768493</c:v>
                </c:pt>
                <c:pt idx="89">
                  <c:v>10.815432994768493</c:v>
                </c:pt>
                <c:pt idx="90">
                  <c:v>10.815432994768493</c:v>
                </c:pt>
                <c:pt idx="91">
                  <c:v>10.815432994768493</c:v>
                </c:pt>
                <c:pt idx="92">
                  <c:v>10.815432994768493</c:v>
                </c:pt>
                <c:pt idx="93">
                  <c:v>10.815432994768493</c:v>
                </c:pt>
                <c:pt idx="94">
                  <c:v>10.815432994768493</c:v>
                </c:pt>
                <c:pt idx="95">
                  <c:v>10.815432994768493</c:v>
                </c:pt>
                <c:pt idx="96">
                  <c:v>10.815432994768493</c:v>
                </c:pt>
                <c:pt idx="97">
                  <c:v>10.815432994768493</c:v>
                </c:pt>
                <c:pt idx="98">
                  <c:v>10.815432994768493</c:v>
                </c:pt>
                <c:pt idx="99">
                  <c:v>10.815432994768493</c:v>
                </c:pt>
                <c:pt idx="100">
                  <c:v>10.815432994768493</c:v>
                </c:pt>
              </c:numCache>
            </c:numRef>
          </c:yVal>
          <c:smooth val="0"/>
          <c:extLst>
            <c:ext xmlns:c16="http://schemas.microsoft.com/office/drawing/2014/chart" uri="{C3380CC4-5D6E-409C-BE32-E72D297353CC}">
              <c16:uniqueId val="{00000004-4EA7-478D-A5D1-840C1C215C9F}"/>
            </c:ext>
          </c:extLst>
        </c:ser>
        <c:dLbls>
          <c:showLegendKey val="0"/>
          <c:showVal val="0"/>
          <c:showCatName val="0"/>
          <c:showSerName val="0"/>
          <c:showPercent val="0"/>
          <c:showBubbleSize val="0"/>
        </c:dLbls>
        <c:axId val="767167528"/>
        <c:axId val="767169168"/>
      </c:scatterChart>
      <c:valAx>
        <c:axId val="630710192"/>
        <c:scaling>
          <c:orientation val="minMax"/>
          <c:max val="1500"/>
          <c:min val="0"/>
        </c:scaling>
        <c:delete val="0"/>
        <c:axPos val="b"/>
        <c:majorGridlines>
          <c:spPr>
            <a:ln w="9525" cap="flat" cmpd="sng" algn="ctr">
              <a:solidFill>
                <a:schemeClr val="tx1">
                  <a:lumMod val="15000"/>
                  <a:lumOff val="85000"/>
                </a:schemeClr>
              </a:solidFill>
              <a:round/>
            </a:ln>
            <a:effectLst/>
          </c:spPr>
        </c:majorGridlines>
        <c:title>
          <c:tx>
            <c:strRef>
              <c:f>Analysis!$AS$97</c:f>
              <c:strCache>
                <c:ptCount val="1"/>
                <c:pt idx="0">
                  <c:v>Belt Width - Traverse Position (mm)</c:v>
                </c:pt>
              </c:strCache>
            </c:strRef>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30710848"/>
        <c:crosses val="autoZero"/>
        <c:crossBetween val="midCat"/>
        <c:majorUnit val="200"/>
      </c:valAx>
      <c:valAx>
        <c:axId val="630710848"/>
        <c:scaling>
          <c:orientation val="minMax"/>
          <c:max val="1181"/>
          <c:min val="776"/>
        </c:scaling>
        <c:delete val="0"/>
        <c:axPos val="l"/>
        <c:majorGridlines>
          <c:spPr>
            <a:ln w="9525" cap="flat" cmpd="sng" algn="ctr">
              <a:solidFill>
                <a:schemeClr val="bg1">
                  <a:lumMod val="75000"/>
                </a:schemeClr>
              </a:solidFill>
              <a:round/>
            </a:ln>
            <a:effectLst/>
          </c:spPr>
        </c:majorGridlines>
        <c:minorGridlines>
          <c:spPr>
            <a:ln w="9525" cap="flat" cmpd="sng" algn="ctr">
              <a:solidFill>
                <a:schemeClr val="tx1">
                  <a:lumMod val="5000"/>
                  <a:lumOff val="95000"/>
                </a:schemeClr>
              </a:solidFill>
              <a:round/>
            </a:ln>
            <a:effectLst/>
          </c:spPr>
        </c:minorGridlines>
        <c:title>
          <c:tx>
            <c:strRef>
              <c:f>Analysis!$AS$96</c:f>
              <c:strCache>
                <c:ptCount val="1"/>
                <c:pt idx="0">
                  <c:v>Tension (kN)</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30710192"/>
        <c:crosses val="autoZero"/>
        <c:crossBetween val="midCat"/>
        <c:majorUnit val="53.91"/>
      </c:valAx>
      <c:valAx>
        <c:axId val="767169168"/>
        <c:scaling>
          <c:orientation val="minMax"/>
          <c:max val="2.4"/>
          <c:min val="-2.4"/>
        </c:scaling>
        <c:delete val="0"/>
        <c:axPos val="r"/>
        <c:minorGridlines>
          <c:spPr>
            <a:ln w="9525" cap="flat" cmpd="sng" algn="ctr">
              <a:solidFill>
                <a:schemeClr val="tx1">
                  <a:lumMod val="5000"/>
                  <a:lumOff val="95000"/>
                </a:schemeClr>
              </a:solidFill>
              <a:round/>
            </a:ln>
            <a:effectLst/>
          </c:spPr>
        </c:minorGridlines>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167528"/>
        <c:crosses val="max"/>
        <c:crossBetween val="midCat"/>
        <c:majorUnit val="1"/>
      </c:valAx>
      <c:valAx>
        <c:axId val="767167528"/>
        <c:scaling>
          <c:orientation val="minMax"/>
        </c:scaling>
        <c:delete val="1"/>
        <c:axPos val="b"/>
        <c:numFmt formatCode="0" sourceLinked="1"/>
        <c:majorTickMark val="out"/>
        <c:minorTickMark val="none"/>
        <c:tickLblPos val="nextTo"/>
        <c:crossAx val="767169168"/>
        <c:crosses val="autoZero"/>
        <c:crossBetween val="midCat"/>
      </c:valAx>
      <c:spPr>
        <a:noFill/>
        <a:ln>
          <a:noFill/>
        </a:ln>
        <a:effectLst/>
      </c:spPr>
    </c:plotArea>
    <c:legend>
      <c:legendPos val="r"/>
      <c:layout>
        <c:manualLayout>
          <c:xMode val="edge"/>
          <c:yMode val="edge"/>
          <c:x val="0.22405472011077432"/>
          <c:y val="0.88001886777431937"/>
          <c:w val="0.5353936286971418"/>
          <c:h val="8.68178517044390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image" Target="../media/image2.png"/><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xdr:col>
      <xdr:colOff>0</xdr:colOff>
      <xdr:row>1</xdr:row>
      <xdr:rowOff>183494</xdr:rowOff>
    </xdr:from>
    <xdr:to>
      <xdr:col>16</xdr:col>
      <xdr:colOff>726280</xdr:colOff>
      <xdr:row>28</xdr:row>
      <xdr:rowOff>190499</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279400</xdr:colOff>
          <xdr:row>56</xdr:row>
          <xdr:rowOff>88900</xdr:rowOff>
        </xdr:from>
        <xdr:to>
          <xdr:col>3</xdr:col>
          <xdr:colOff>2305050</xdr:colOff>
          <xdr:row>58</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UPDATE CALCULATION</a:t>
              </a:r>
            </a:p>
          </xdr:txBody>
        </xdr:sp>
        <xdr:clientData fPrintsWithSheet="0"/>
      </xdr:twoCellAnchor>
    </mc:Choice>
    <mc:Fallback/>
  </mc:AlternateContent>
  <xdr:twoCellAnchor>
    <xdr:from>
      <xdr:col>5</xdr:col>
      <xdr:colOff>17859</xdr:colOff>
      <xdr:row>36</xdr:row>
      <xdr:rowOff>35722</xdr:rowOff>
    </xdr:from>
    <xdr:to>
      <xdr:col>16</xdr:col>
      <xdr:colOff>714375</xdr:colOff>
      <xdr:row>67</xdr:row>
      <xdr:rowOff>130970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23812</xdr:colOff>
      <xdr:row>0</xdr:row>
      <xdr:rowOff>71438</xdr:rowOff>
    </xdr:from>
    <xdr:to>
      <xdr:col>1</xdr:col>
      <xdr:colOff>1718116</xdr:colOff>
      <xdr:row>2</xdr:row>
      <xdr:rowOff>154781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7156" y="71438"/>
          <a:ext cx="1700019" cy="488156"/>
        </a:xfrm>
        <a:prstGeom prst="rect">
          <a:avLst/>
        </a:prstGeom>
      </xdr:spPr>
    </xdr:pic>
    <xdr:clientData/>
  </xdr:twoCellAnchor>
  <xdr:twoCellAnchor>
    <xdr:from>
      <xdr:col>16</xdr:col>
      <xdr:colOff>735805</xdr:colOff>
      <xdr:row>36</xdr:row>
      <xdr:rowOff>35715</xdr:rowOff>
    </xdr:from>
    <xdr:to>
      <xdr:col>25</xdr:col>
      <xdr:colOff>226218</xdr:colOff>
      <xdr:row>67</xdr:row>
      <xdr:rowOff>107155</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511970</xdr:colOff>
      <xdr:row>0</xdr:row>
      <xdr:rowOff>0</xdr:rowOff>
    </xdr:from>
    <xdr:to>
      <xdr:col>3</xdr:col>
      <xdr:colOff>2853213</xdr:colOff>
      <xdr:row>2</xdr:row>
      <xdr:rowOff>157162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16601" b="16993"/>
        <a:stretch/>
      </xdr:blipFill>
      <xdr:spPr>
        <a:xfrm>
          <a:off x="2416970" y="0"/>
          <a:ext cx="2988467" cy="571500"/>
        </a:xfrm>
        <a:prstGeom prst="rect">
          <a:avLst/>
        </a:prstGeom>
      </xdr:spPr>
    </xdr:pic>
    <xdr:clientData/>
  </xdr:twoCellAnchor>
  <xdr:twoCellAnchor>
    <xdr:from>
      <xdr:col>25</xdr:col>
      <xdr:colOff>404813</xdr:colOff>
      <xdr:row>36</xdr:row>
      <xdr:rowOff>45923</xdr:rowOff>
    </xdr:from>
    <xdr:to>
      <xdr:col>36</xdr:col>
      <xdr:colOff>440531</xdr:colOff>
      <xdr:row>67</xdr:row>
      <xdr:rowOff>117363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37</xdr:col>
      <xdr:colOff>119061</xdr:colOff>
      <xdr:row>36</xdr:row>
      <xdr:rowOff>35720</xdr:rowOff>
    </xdr:from>
    <xdr:to>
      <xdr:col>46</xdr:col>
      <xdr:colOff>585787</xdr:colOff>
      <xdr:row>67</xdr:row>
      <xdr:rowOff>107160</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47625</xdr:colOff>
      <xdr:row>0</xdr:row>
      <xdr:rowOff>9525</xdr:rowOff>
    </xdr:from>
    <xdr:to>
      <xdr:col>5</xdr:col>
      <xdr:colOff>94455</xdr:colOff>
      <xdr:row>2</xdr:row>
      <xdr:rowOff>123825</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6601" b="16993"/>
        <a:stretch/>
      </xdr:blipFill>
      <xdr:spPr>
        <a:xfrm>
          <a:off x="47625" y="9525"/>
          <a:ext cx="2590005" cy="495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03-Research\R007%20-%20Cable%20Suspended%20Conveyor\3.%20Design\Mechanical\R007-CAL-ME-001%20Cable%20Suspended%20Conveyor\R007-CAL-ME-001(A03)%20Cable%20Suspended%20Convey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ysis"/>
      <sheetName val="Wire Rope Data"/>
      <sheetName val="Wind Loads"/>
    </sheetNames>
    <sheetDataSet>
      <sheetData sheetId="0"/>
      <sheetData sheetId="1">
        <row r="9">
          <cell r="C9">
            <v>19</v>
          </cell>
        </row>
        <row r="10">
          <cell r="C10">
            <v>22</v>
          </cell>
        </row>
        <row r="11">
          <cell r="C11">
            <v>26</v>
          </cell>
        </row>
        <row r="12">
          <cell r="C12">
            <v>29</v>
          </cell>
        </row>
        <row r="13">
          <cell r="C13">
            <v>32</v>
          </cell>
        </row>
        <row r="14">
          <cell r="C14">
            <v>35</v>
          </cell>
        </row>
        <row r="15">
          <cell r="C15">
            <v>38</v>
          </cell>
        </row>
        <row r="16">
          <cell r="C16">
            <v>42</v>
          </cell>
        </row>
        <row r="17">
          <cell r="C17">
            <v>45</v>
          </cell>
        </row>
        <row r="18">
          <cell r="C18">
            <v>48</v>
          </cell>
        </row>
        <row r="19">
          <cell r="C19">
            <v>52</v>
          </cell>
        </row>
        <row r="20">
          <cell r="C20">
            <v>54</v>
          </cell>
        </row>
        <row r="21">
          <cell r="C21">
            <v>58</v>
          </cell>
        </row>
        <row r="22">
          <cell r="C22">
            <v>60</v>
          </cell>
        </row>
        <row r="23">
          <cell r="C23">
            <v>64</v>
          </cell>
        </row>
        <row r="24">
          <cell r="C24">
            <v>67</v>
          </cell>
        </row>
        <row r="25">
          <cell r="C25">
            <v>70</v>
          </cell>
        </row>
        <row r="26">
          <cell r="C26">
            <v>74</v>
          </cell>
        </row>
        <row r="27">
          <cell r="C27">
            <v>76</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CJ562"/>
  <sheetViews>
    <sheetView tabSelected="1" topLeftCell="F34" zoomScale="70" zoomScaleNormal="80" workbookViewId="0">
      <selection activeCell="D59" sqref="D59"/>
    </sheetView>
  </sheetViews>
  <sheetFormatPr defaultColWidth="8.81640625" defaultRowHeight="14.5" x14ac:dyDescent="0.35"/>
  <cols>
    <col min="1" max="1" width="1.26953125" customWidth="1"/>
    <col min="2" max="2" width="27.26953125" customWidth="1"/>
    <col min="3" max="3" width="9.81640625" style="6" customWidth="1"/>
    <col min="4" max="4" width="43.26953125" customWidth="1"/>
    <col min="5" max="5" width="10.453125" customWidth="1"/>
    <col min="6" max="6" width="12.7265625" customWidth="1"/>
    <col min="7" max="7" width="10" customWidth="1"/>
    <col min="8" max="8" width="12.7265625" customWidth="1"/>
    <col min="9" max="9" width="9.81640625" bestFit="1" customWidth="1"/>
    <col min="10" max="11" width="12" customWidth="1"/>
    <col min="12" max="12" width="8.453125" customWidth="1"/>
    <col min="13" max="13" width="17.453125" customWidth="1"/>
    <col min="14" max="14" width="10.26953125" customWidth="1"/>
    <col min="15" max="17" width="11.1796875" customWidth="1"/>
    <col min="18" max="18" width="15.453125" customWidth="1"/>
    <col min="19" max="19" width="12.1796875" customWidth="1"/>
    <col min="20" max="20" width="15.453125" customWidth="1"/>
    <col min="21" max="24" width="12.26953125" customWidth="1"/>
    <col min="25" max="25" width="37.26953125" customWidth="1"/>
    <col min="26" max="36" width="11.81640625" customWidth="1"/>
    <col min="37" max="37" width="8.54296875" bestFit="1" customWidth="1"/>
    <col min="38" max="38" width="5.54296875" bestFit="1" customWidth="1"/>
    <col min="39" max="39" width="24.81640625" bestFit="1" customWidth="1"/>
    <col min="40" max="40" width="10.81640625" customWidth="1"/>
    <col min="41" max="41" width="13.26953125" customWidth="1"/>
    <col min="42" max="43" width="12.26953125" customWidth="1"/>
    <col min="44" max="44" width="13.7265625" customWidth="1"/>
    <col min="45" max="45" width="14.453125" customWidth="1"/>
    <col min="46" max="46" width="13.7265625" customWidth="1"/>
    <col min="47" max="47" width="11.7265625" customWidth="1"/>
    <col min="48" max="48" width="12.453125" customWidth="1"/>
    <col min="53" max="53" width="9.81640625" customWidth="1"/>
    <col min="55" max="55" width="12.453125" bestFit="1" customWidth="1"/>
    <col min="57" max="58" width="10.1796875" customWidth="1"/>
    <col min="59" max="59" width="12.453125" bestFit="1" customWidth="1"/>
    <col min="61" max="61" width="12.26953125" customWidth="1"/>
    <col min="63" max="63" width="15" customWidth="1"/>
    <col min="64" max="64" width="12.26953125" customWidth="1"/>
    <col min="65" max="65" width="12.81640625" customWidth="1"/>
    <col min="66" max="67" width="12.26953125" customWidth="1"/>
    <col min="68" max="68" width="13.81640625" customWidth="1"/>
    <col min="69" max="69" width="13.1796875" customWidth="1"/>
    <col min="70" max="75" width="12.26953125" customWidth="1"/>
    <col min="76" max="76" width="11.1796875" customWidth="1"/>
    <col min="77" max="77" width="10.453125" customWidth="1"/>
    <col min="81" max="81" width="18.7265625" bestFit="1" customWidth="1"/>
    <col min="82" max="82" width="12.453125" bestFit="1" customWidth="1"/>
    <col min="83" max="83" width="21.7265625" customWidth="1"/>
    <col min="84" max="84" width="6.1796875" customWidth="1"/>
    <col min="85" max="85" width="21.7265625" customWidth="1"/>
    <col min="86" max="86" width="8.453125" customWidth="1"/>
    <col min="87" max="87" width="8.7265625" customWidth="1"/>
    <col min="88" max="89" width="21.7265625" customWidth="1"/>
  </cols>
  <sheetData>
    <row r="1" spans="2:39" ht="15.5" x14ac:dyDescent="0.35">
      <c r="C1" s="31"/>
      <c r="D1" s="31"/>
      <c r="G1" s="58"/>
      <c r="S1" s="4" t="s">
        <v>8</v>
      </c>
      <c r="T1" s="42" t="s">
        <v>11</v>
      </c>
      <c r="U1" s="42"/>
    </row>
    <row r="2" spans="2:39" ht="15.5" x14ac:dyDescent="0.35">
      <c r="C2" s="31"/>
      <c r="D2" s="31"/>
      <c r="S2" s="4" t="s">
        <v>9</v>
      </c>
      <c r="T2" s="42" t="s">
        <v>478</v>
      </c>
      <c r="U2" s="42"/>
    </row>
    <row r="3" spans="2:39" ht="15.5" x14ac:dyDescent="0.35">
      <c r="C3" s="31"/>
      <c r="D3" s="31"/>
      <c r="E3" s="42"/>
      <c r="I3" s="5"/>
      <c r="S3" s="4" t="s">
        <v>10</v>
      </c>
      <c r="T3" s="123">
        <v>45711</v>
      </c>
      <c r="U3" s="123"/>
      <c r="AI3" s="57" t="s">
        <v>221</v>
      </c>
    </row>
    <row r="4" spans="2:39" x14ac:dyDescent="0.35">
      <c r="B4" s="2" t="s">
        <v>1</v>
      </c>
      <c r="D4" s="76" t="s">
        <v>221</v>
      </c>
      <c r="E4" s="66" t="s">
        <v>102</v>
      </c>
      <c r="H4" s="4"/>
      <c r="I4" s="5"/>
      <c r="J4" s="5"/>
      <c r="AH4" s="2" t="s">
        <v>221</v>
      </c>
      <c r="AI4" s="2" t="s">
        <v>223</v>
      </c>
      <c r="AJ4" s="2" t="s">
        <v>222</v>
      </c>
      <c r="AK4" s="2"/>
    </row>
    <row r="5" spans="2:39" x14ac:dyDescent="0.35">
      <c r="B5" s="4" t="s">
        <v>127</v>
      </c>
      <c r="D5" s="77" t="s">
        <v>464</v>
      </c>
      <c r="E5" s="66" t="s">
        <v>102</v>
      </c>
      <c r="H5" s="4"/>
      <c r="I5" s="5"/>
      <c r="J5" s="5"/>
      <c r="AG5" s="38" t="str">
        <f>D5</f>
        <v>CV3035</v>
      </c>
      <c r="AH5" t="s">
        <v>102</v>
      </c>
      <c r="AI5" s="1">
        <v>0</v>
      </c>
      <c r="AJ5" t="s">
        <v>102</v>
      </c>
    </row>
    <row r="6" spans="2:39" x14ac:dyDescent="0.35">
      <c r="B6" s="4" t="s">
        <v>128</v>
      </c>
      <c r="C6" s="71"/>
      <c r="D6" s="77" t="s">
        <v>481</v>
      </c>
      <c r="E6" s="67"/>
      <c r="AG6" s="38" t="str">
        <f>D6</f>
        <v>Seconday Drive</v>
      </c>
      <c r="AI6" s="1">
        <v>0</v>
      </c>
    </row>
    <row r="7" spans="2:39" x14ac:dyDescent="0.35">
      <c r="B7" s="4" t="s">
        <v>82</v>
      </c>
      <c r="C7" s="6" t="s">
        <v>4</v>
      </c>
      <c r="D7" s="78">
        <v>979</v>
      </c>
      <c r="E7" s="68" t="s">
        <v>0</v>
      </c>
      <c r="AG7" s="28">
        <f>IF($D$4="Metric",D7,D7*AI7)</f>
        <v>979</v>
      </c>
      <c r="AH7" t="s">
        <v>0</v>
      </c>
      <c r="AI7" s="8">
        <v>4.4482200000000001</v>
      </c>
      <c r="AJ7" t="s">
        <v>215</v>
      </c>
    </row>
    <row r="8" spans="2:39" x14ac:dyDescent="0.35">
      <c r="B8" s="4" t="s">
        <v>82</v>
      </c>
      <c r="C8" s="6" t="s">
        <v>5</v>
      </c>
      <c r="D8" s="78">
        <v>472</v>
      </c>
      <c r="E8" s="68" t="s">
        <v>0</v>
      </c>
      <c r="AG8" s="28">
        <f>IF($D$4="Metric",D8,D8*AI8)</f>
        <v>472</v>
      </c>
      <c r="AH8" t="s">
        <v>0</v>
      </c>
      <c r="AI8" s="8">
        <v>4.4482200000000001</v>
      </c>
      <c r="AJ8" t="s">
        <v>215</v>
      </c>
    </row>
    <row r="9" spans="2:39" x14ac:dyDescent="0.35">
      <c r="B9" s="4" t="s">
        <v>146</v>
      </c>
      <c r="C9" s="6" t="s">
        <v>147</v>
      </c>
      <c r="D9" s="83">
        <v>5.7</v>
      </c>
      <c r="E9" s="40" t="s">
        <v>150</v>
      </c>
      <c r="AG9" s="161">
        <f>IF($D$4="Metric",D9,D9*AI9)</f>
        <v>5.7</v>
      </c>
      <c r="AH9" t="s">
        <v>150</v>
      </c>
      <c r="AI9" s="8">
        <v>5.0800000000000003E-3</v>
      </c>
      <c r="AJ9" t="s">
        <v>216</v>
      </c>
    </row>
    <row r="10" spans="2:39" x14ac:dyDescent="0.35">
      <c r="B10" s="4" t="s">
        <v>271</v>
      </c>
      <c r="C10" s="6" t="s">
        <v>272</v>
      </c>
      <c r="D10" s="80">
        <v>7600</v>
      </c>
      <c r="E10" s="40" t="s">
        <v>270</v>
      </c>
      <c r="AG10" s="28">
        <f>D10</f>
        <v>7600</v>
      </c>
      <c r="AH10" t="s">
        <v>270</v>
      </c>
      <c r="AI10" s="8">
        <v>0</v>
      </c>
    </row>
    <row r="11" spans="2:39" x14ac:dyDescent="0.35">
      <c r="B11" s="4" t="s">
        <v>148</v>
      </c>
      <c r="C11" s="6" t="s">
        <v>149</v>
      </c>
      <c r="D11" s="14">
        <f>AG11/IF($D$4="Imperial",0.7457,1)</f>
        <v>3042.0000000000005</v>
      </c>
      <c r="E11" s="58" t="s">
        <v>151</v>
      </c>
      <c r="AG11" s="14">
        <f>(AG7-AG8)*AG9/0.95</f>
        <v>3042.0000000000005</v>
      </c>
      <c r="AH11" t="s">
        <v>151</v>
      </c>
      <c r="AI11" s="1">
        <v>0</v>
      </c>
      <c r="AJ11" t="s">
        <v>217</v>
      </c>
      <c r="AM11" s="8"/>
    </row>
    <row r="12" spans="2:39" x14ac:dyDescent="0.35">
      <c r="B12" s="4"/>
      <c r="D12" s="1"/>
      <c r="E12" s="1"/>
      <c r="AG12" s="1"/>
      <c r="AH12" s="1"/>
      <c r="AI12" s="1">
        <v>0</v>
      </c>
      <c r="AM12" s="1"/>
    </row>
    <row r="13" spans="2:39" x14ac:dyDescent="0.35">
      <c r="B13" s="10" t="s">
        <v>70</v>
      </c>
      <c r="D13" s="1"/>
      <c r="E13" s="1"/>
      <c r="AG13" s="1"/>
      <c r="AH13" s="1"/>
      <c r="AI13" s="1">
        <v>0</v>
      </c>
      <c r="AM13" s="1"/>
    </row>
    <row r="14" spans="2:39" x14ac:dyDescent="0.35">
      <c r="B14" s="4" t="s">
        <v>23</v>
      </c>
      <c r="D14" s="79" t="s">
        <v>428</v>
      </c>
      <c r="E14" s="39"/>
      <c r="AG14" s="62" t="str">
        <f>D14</f>
        <v>Steel</v>
      </c>
      <c r="AI14" s="1">
        <v>0</v>
      </c>
    </row>
    <row r="15" spans="2:39" x14ac:dyDescent="0.35">
      <c r="B15" s="4" t="s">
        <v>241</v>
      </c>
      <c r="C15" s="6" t="s">
        <v>242</v>
      </c>
      <c r="D15" s="80">
        <v>6300</v>
      </c>
      <c r="E15" s="39" t="s">
        <v>81</v>
      </c>
      <c r="AG15" s="28">
        <f>IF($D$4="Metric",D15,D15*AI15)</f>
        <v>6300</v>
      </c>
      <c r="AH15" t="s">
        <v>81</v>
      </c>
      <c r="AI15" s="8">
        <f>IF($D$14="Steel",6.7,10)/5.71</f>
        <v>1.1733800350262698</v>
      </c>
      <c r="AJ15" t="s">
        <v>240</v>
      </c>
    </row>
    <row r="16" spans="2:39" x14ac:dyDescent="0.35">
      <c r="B16" s="4" t="s">
        <v>61</v>
      </c>
      <c r="C16" s="6" t="s">
        <v>35</v>
      </c>
      <c r="D16" s="14">
        <f>AG16*IF($D$4="Imperial",5.71,1)</f>
        <v>453600</v>
      </c>
      <c r="E16" s="58" t="s">
        <v>81</v>
      </c>
      <c r="AG16" s="14">
        <f>IF($D$14="Steel",($AG$15*72),(72*0.18*$AG$15))</f>
        <v>453600</v>
      </c>
      <c r="AH16" t="s">
        <v>81</v>
      </c>
      <c r="AI16" s="1">
        <v>0</v>
      </c>
      <c r="AJ16" t="s">
        <v>240</v>
      </c>
    </row>
    <row r="17" spans="2:39" x14ac:dyDescent="0.35">
      <c r="B17" s="4" t="s">
        <v>143</v>
      </c>
      <c r="C17" s="6" t="s">
        <v>144</v>
      </c>
      <c r="D17" s="41">
        <f>AG17</f>
        <v>9.6527068437180805</v>
      </c>
      <c r="E17" s="59" t="s">
        <v>145</v>
      </c>
      <c r="AG17" s="59">
        <f>$AG$15*$AG$18/MAX($AG$7,$AG$8)</f>
        <v>9.6527068437180805</v>
      </c>
      <c r="AH17" t="s">
        <v>145</v>
      </c>
      <c r="AI17" s="1">
        <v>0</v>
      </c>
      <c r="AJ17" t="s">
        <v>145</v>
      </c>
    </row>
    <row r="18" spans="2:39" x14ac:dyDescent="0.35">
      <c r="B18" s="4" t="s">
        <v>33</v>
      </c>
      <c r="C18" s="6" t="s">
        <v>13</v>
      </c>
      <c r="D18" s="81">
        <v>1.5</v>
      </c>
      <c r="E18" s="69" t="s">
        <v>3</v>
      </c>
      <c r="AG18" s="61">
        <f>IF($D$4="Metric",D18,D18*AI18)</f>
        <v>1.5</v>
      </c>
      <c r="AH18" t="s">
        <v>3</v>
      </c>
      <c r="AI18" s="8">
        <v>2.5399999999999999E-2</v>
      </c>
      <c r="AJ18" t="s">
        <v>219</v>
      </c>
    </row>
    <row r="19" spans="2:39" x14ac:dyDescent="0.35">
      <c r="B19" s="4"/>
      <c r="D19" s="7"/>
      <c r="E19" s="7"/>
      <c r="AG19" s="7"/>
      <c r="AI19" s="1">
        <v>0</v>
      </c>
    </row>
    <row r="20" spans="2:39" x14ac:dyDescent="0.35">
      <c r="B20" s="10" t="s">
        <v>86</v>
      </c>
      <c r="D20" s="7"/>
      <c r="E20" s="7"/>
      <c r="R20" s="125">
        <f>1+(AV208/$AG$7)</f>
        <v>1.1376564903165838</v>
      </c>
      <c r="S20" t="s">
        <v>334</v>
      </c>
      <c r="AG20" s="7"/>
      <c r="AI20" s="1">
        <v>0</v>
      </c>
    </row>
    <row r="21" spans="2:39" x14ac:dyDescent="0.35">
      <c r="B21" s="4" t="s">
        <v>288</v>
      </c>
      <c r="C21" s="6" t="s">
        <v>290</v>
      </c>
      <c r="D21" s="81">
        <v>1.95</v>
      </c>
      <c r="E21" s="69" t="s">
        <v>3</v>
      </c>
      <c r="R21" s="125">
        <f>1+(AV209/$AG$7)</f>
        <v>0.88293391923628495</v>
      </c>
      <c r="S21" t="s">
        <v>335</v>
      </c>
      <c r="AG21" s="114">
        <f>IF($D$4="Metric",D21,D21*AI21)</f>
        <v>1.95</v>
      </c>
      <c r="AH21" t="s">
        <v>3</v>
      </c>
      <c r="AI21" s="8">
        <v>2.5399999999999999E-2</v>
      </c>
      <c r="AJ21" t="s">
        <v>219</v>
      </c>
    </row>
    <row r="22" spans="2:39" x14ac:dyDescent="0.35">
      <c r="B22" s="4" t="s">
        <v>15</v>
      </c>
      <c r="C22" s="6" t="s">
        <v>16</v>
      </c>
      <c r="D22" s="80">
        <v>179</v>
      </c>
      <c r="E22" s="39" t="s">
        <v>17</v>
      </c>
      <c r="AG22" s="28">
        <f>IF($D$4="Metric",D22,D22*AI22)</f>
        <v>179</v>
      </c>
      <c r="AH22" t="s">
        <v>17</v>
      </c>
      <c r="AI22" s="8">
        <v>1</v>
      </c>
      <c r="AJ22" t="s">
        <v>220</v>
      </c>
    </row>
    <row r="23" spans="2:39" x14ac:dyDescent="0.35">
      <c r="R23" s="125">
        <f>1+((BS208)/$AG$7)</f>
        <v>1</v>
      </c>
      <c r="S23" t="s">
        <v>324</v>
      </c>
      <c r="AI23" s="8">
        <v>0</v>
      </c>
    </row>
    <row r="24" spans="2:39" x14ac:dyDescent="0.35">
      <c r="B24" s="10" t="s">
        <v>87</v>
      </c>
      <c r="D24" s="3"/>
      <c r="E24" s="3"/>
      <c r="R24" s="125">
        <f>1+(BS209/$AG$7)</f>
        <v>1</v>
      </c>
      <c r="S24" t="s">
        <v>325</v>
      </c>
      <c r="AG24" s="3"/>
      <c r="AI24" s="1">
        <v>0</v>
      </c>
    </row>
    <row r="25" spans="2:39" x14ac:dyDescent="0.35">
      <c r="B25" s="4" t="s">
        <v>110</v>
      </c>
      <c r="C25" s="6" t="s">
        <v>59</v>
      </c>
      <c r="D25" s="83">
        <v>9</v>
      </c>
      <c r="E25" s="40" t="s">
        <v>30</v>
      </c>
      <c r="AG25" s="60">
        <f>IF($D$4="Metric",D25,D25*AI25)</f>
        <v>9</v>
      </c>
      <c r="AH25" t="s">
        <v>30</v>
      </c>
      <c r="AI25" s="8">
        <v>25.4</v>
      </c>
      <c r="AJ25" t="s">
        <v>219</v>
      </c>
    </row>
    <row r="26" spans="2:39" x14ac:dyDescent="0.35">
      <c r="B26" s="4" t="s">
        <v>50</v>
      </c>
      <c r="D26" s="80">
        <v>70</v>
      </c>
      <c r="E26" s="39" t="s">
        <v>83</v>
      </c>
      <c r="R26" s="17">
        <f>IF(D70&lt;0,(D8/D7),(D7/D8))</f>
        <v>2.0741525423728815</v>
      </c>
      <c r="S26" t="s">
        <v>267</v>
      </c>
      <c r="AG26" s="28">
        <f>IF($D$4="Metric",D26,D26*AI26)</f>
        <v>70</v>
      </c>
      <c r="AH26" t="s">
        <v>83</v>
      </c>
      <c r="AI26" s="8">
        <v>1</v>
      </c>
      <c r="AJ26" t="s">
        <v>83</v>
      </c>
      <c r="AM26" s="8"/>
    </row>
    <row r="27" spans="2:39" x14ac:dyDescent="0.35">
      <c r="B27" s="4" t="s">
        <v>34</v>
      </c>
      <c r="C27" s="6" t="s">
        <v>51</v>
      </c>
      <c r="D27" s="16">
        <f>AG27/IF($D$4="Imperial",6.8948,1)</f>
        <v>5.5205067818578977</v>
      </c>
      <c r="E27" s="36" t="s">
        <v>31</v>
      </c>
      <c r="R27" s="17">
        <f>EXP($D$93*RADIANS($D$22))</f>
        <v>2.9845493871621693</v>
      </c>
      <c r="S27" t="s">
        <v>268</v>
      </c>
      <c r="AG27" s="16">
        <f>(0.0981*(56+(7.62336*$AG$26)))/((0.137505*(254-2.54*$AG$26)))</f>
        <v>5.5205067818578977</v>
      </c>
      <c r="AH27" t="s">
        <v>31</v>
      </c>
      <c r="AI27" s="1">
        <v>0</v>
      </c>
      <c r="AJ27" t="s">
        <v>218</v>
      </c>
    </row>
    <row r="28" spans="2:39" x14ac:dyDescent="0.35">
      <c r="B28" s="4" t="s">
        <v>32</v>
      </c>
      <c r="C28" s="6" t="s">
        <v>53</v>
      </c>
      <c r="D28" s="17">
        <f>AG28</f>
        <v>0.45</v>
      </c>
      <c r="E28" s="3"/>
      <c r="R28" s="35">
        <f>R26/R27</f>
        <v>0.69496338418613668</v>
      </c>
      <c r="S28" t="s">
        <v>269</v>
      </c>
      <c r="AG28" s="17">
        <v>0.45</v>
      </c>
      <c r="AI28" s="1">
        <v>0</v>
      </c>
      <c r="AM28" s="8"/>
    </row>
    <row r="29" spans="2:39" x14ac:dyDescent="0.35">
      <c r="B29" s="4" t="s">
        <v>44</v>
      </c>
      <c r="C29" s="6" t="s">
        <v>52</v>
      </c>
      <c r="D29" s="13">
        <f>AG29/IF($D$4="Imperial",6.8948,1)</f>
        <v>1.9036230282268614</v>
      </c>
      <c r="E29" s="7" t="s">
        <v>31</v>
      </c>
      <c r="R29" s="17">
        <f>LN(AG7/(K31*$G$71))/RADIANS(AG22)</f>
        <v>0.26815712201489278</v>
      </c>
      <c r="S29" t="s">
        <v>273</v>
      </c>
      <c r="AG29" s="13">
        <f>AG27/(2*(1+AG28))</f>
        <v>1.9036230282268614</v>
      </c>
      <c r="AH29" t="s">
        <v>31</v>
      </c>
      <c r="AI29" s="1">
        <v>0</v>
      </c>
      <c r="AJ29" t="s">
        <v>218</v>
      </c>
    </row>
    <row r="30" spans="2:39" x14ac:dyDescent="0.35">
      <c r="B30" s="4"/>
      <c r="D30" s="7"/>
      <c r="E30" s="7"/>
      <c r="G30" s="6" t="s">
        <v>474</v>
      </c>
      <c r="AG30" s="7"/>
      <c r="AI30" s="1">
        <v>0</v>
      </c>
    </row>
    <row r="31" spans="2:39" x14ac:dyDescent="0.35">
      <c r="B31" s="10" t="s">
        <v>88</v>
      </c>
      <c r="D31" s="3"/>
      <c r="E31" s="3"/>
      <c r="F31" s="18" t="s">
        <v>126</v>
      </c>
      <c r="G31" s="33">
        <f>IF(G32=0,$M$196/$O$196,1)</f>
        <v>1</v>
      </c>
      <c r="H31" t="s">
        <v>120</v>
      </c>
      <c r="K31" s="15" cm="1">
        <f t="array" ref="K31">IF(G32=0,($H$104+(($AG$8-$H$104)*0.35)),AVERAGE($H$104,MAX(IF($P$106:$P$196=1,$K$106:$K$196))*(1+(J32))))/$G$71</f>
        <v>423.59229434779752</v>
      </c>
      <c r="L31" t="str">
        <f>IF($D$4="Imperial","kips","kN")</f>
        <v>kN</v>
      </c>
      <c r="M31" t="s">
        <v>227</v>
      </c>
      <c r="R31" s="17">
        <f>SUM(J106:J196)/$G$72</f>
        <v>2.3232186689859988</v>
      </c>
      <c r="S31" t="str">
        <f>IF($D$4="Imperial","in","mm")</f>
        <v>mm</v>
      </c>
      <c r="T31" t="s">
        <v>229</v>
      </c>
      <c r="AG31" s="3"/>
      <c r="AI31" s="1">
        <v>0</v>
      </c>
    </row>
    <row r="32" spans="2:39" x14ac:dyDescent="0.35">
      <c r="B32" s="4" t="s">
        <v>80</v>
      </c>
      <c r="D32" s="82" t="s">
        <v>435</v>
      </c>
      <c r="E32" s="70" t="s">
        <v>102</v>
      </c>
      <c r="F32" s="18" t="s">
        <v>97</v>
      </c>
      <c r="G32" s="15">
        <f>SUM(P107:P196)*($AG$22/90)</f>
        <v>93.477777777777774</v>
      </c>
      <c r="H32" t="s">
        <v>119</v>
      </c>
      <c r="J32" s="30">
        <f>G32/$AG$22</f>
        <v>0.52222222222222225</v>
      </c>
      <c r="K32" s="15">
        <f>IF(D71&lt;0,MIN($H$106:$H$196),MAX($H$106:$H$196))/$G$70</f>
        <v>315.96772207340223</v>
      </c>
      <c r="L32" t="str">
        <f>IF($D$4="Imperial","psi","kPa")</f>
        <v>kPa</v>
      </c>
      <c r="M32" t="s">
        <v>228</v>
      </c>
      <c r="R32" s="17">
        <f>SUM(Q106:Q196)/$G$72</f>
        <v>2.7548961840802759</v>
      </c>
      <c r="S32" t="str">
        <f>IF($D$4="Imperial","in","mm")</f>
        <v>mm</v>
      </c>
      <c r="T32" t="s">
        <v>230</v>
      </c>
      <c r="AH32" t="s">
        <v>102</v>
      </c>
      <c r="AI32" s="1">
        <v>0</v>
      </c>
      <c r="AJ32" t="s">
        <v>102</v>
      </c>
    </row>
    <row r="33" spans="2:39" x14ac:dyDescent="0.35">
      <c r="B33" s="4" t="s">
        <v>103</v>
      </c>
      <c r="C33" s="6" t="s">
        <v>60</v>
      </c>
      <c r="D33" s="79" t="s">
        <v>369</v>
      </c>
      <c r="E33" s="70" t="s">
        <v>102</v>
      </c>
      <c r="R33" s="17">
        <f>$R$31/(((PI()*$D$77*$AG$22/360))/$AG$9)/$G$72</f>
        <v>4.2945473294035912</v>
      </c>
      <c r="S33" t="str">
        <f>IF($D$4="Imperial","in/s","mm/s")</f>
        <v>mm/s</v>
      </c>
      <c r="T33" t="s">
        <v>360</v>
      </c>
      <c r="AG33" s="15" cm="1">
        <f t="array" ref="AG33">INDEX('Lagging Envelope Data'!$D$4:$D$289,MATCH(1,(Analysis!$D$32='Lagging Envelope Data'!$B$4:$B$289)*(Analysis!$D$33='Lagging Envelope Data'!$C$4:$C$289)*(Analysis!$D$34='Lagging Envelope Data'!$E$4:$E$289)*("Shear Modulus"='Lagging Envelope Data'!$G$4:$G$289),0))</f>
        <v>12</v>
      </c>
      <c r="AH33" t="s">
        <v>102</v>
      </c>
      <c r="AI33" s="1">
        <v>0</v>
      </c>
      <c r="AJ33" t="s">
        <v>102</v>
      </c>
    </row>
    <row r="34" spans="2:39" x14ac:dyDescent="0.35">
      <c r="B34" s="4" t="s">
        <v>50</v>
      </c>
      <c r="D34" s="80">
        <v>65</v>
      </c>
      <c r="E34" s="39" t="s">
        <v>83</v>
      </c>
      <c r="F34" s="2" t="s">
        <v>125</v>
      </c>
      <c r="G34" s="34">
        <f>IF(U198&gt;10,10,U198)</f>
        <v>0</v>
      </c>
      <c r="H34" t="s">
        <v>121</v>
      </c>
      <c r="K34" s="34">
        <f>IF(W198&gt;10,10,W198)</f>
        <v>0.69156997627060146</v>
      </c>
      <c r="L34" t="s">
        <v>123</v>
      </c>
      <c r="O34" s="117"/>
      <c r="P34" s="117"/>
      <c r="R34" s="17">
        <f>(($K$32*($R$32/1000)*$AG$9)/($D$77*PI()))*$G$72</f>
        <v>0.80006595672650804</v>
      </c>
      <c r="S34" t="str">
        <f>IF($D$4="Imperial","W/in","W/mm")</f>
        <v>W/mm</v>
      </c>
      <c r="T34" t="s">
        <v>231</v>
      </c>
      <c r="W34" s="3"/>
      <c r="AH34" t="s">
        <v>83</v>
      </c>
      <c r="AI34" s="1">
        <v>0</v>
      </c>
      <c r="AJ34" t="s">
        <v>83</v>
      </c>
      <c r="AM34" s="8"/>
    </row>
    <row r="35" spans="2:39" x14ac:dyDescent="0.35">
      <c r="B35" s="4" t="s">
        <v>415</v>
      </c>
      <c r="D35" s="38" t="s">
        <v>422</v>
      </c>
      <c r="E35" t="s">
        <v>102</v>
      </c>
      <c r="F35" s="2" t="s">
        <v>97</v>
      </c>
      <c r="G35" s="34">
        <f>IF(V198&gt;10,10,V198)</f>
        <v>0.75082976347617436</v>
      </c>
      <c r="H35" t="s">
        <v>122</v>
      </c>
      <c r="K35" s="34">
        <f>IF(X198&gt;10,10,X198)</f>
        <v>0.83950535404759041</v>
      </c>
      <c r="L35" t="s">
        <v>124</v>
      </c>
      <c r="O35" s="117"/>
      <c r="P35" s="117"/>
      <c r="AG35" s="4" t="str" cm="1">
        <f t="array" ref="AG35">INDEX('Lagging Envelope Data'!$W$4:$W$289,MATCH(1,(Analysis!$D$32='Lagging Envelope Data'!$B$4:$B$289)*(Analysis!$D$33='Lagging Envelope Data'!$C$4:$C$289)*(Analysis!$D$34='Lagging Envelope Data'!$E$4:$E$289)*("Shear Modulus"='Lagging Envelope Data'!$G$4:$G$289),0))</f>
        <v>HC</v>
      </c>
      <c r="AH35" t="s">
        <v>102</v>
      </c>
      <c r="AI35" s="1">
        <v>0</v>
      </c>
    </row>
    <row r="36" spans="2:39" x14ac:dyDescent="0.35">
      <c r="B36" s="4" t="s">
        <v>44</v>
      </c>
      <c r="C36" s="6" t="s">
        <v>45</v>
      </c>
      <c r="D36" s="13">
        <f>AG36/IF($D$4="Imperial",6.8948,1)</f>
        <v>1.304</v>
      </c>
      <c r="E36" s="7" t="s">
        <v>46</v>
      </c>
      <c r="AG36" s="13" cm="1">
        <f t="array" ref="AG36">INDEX('Lagging Envelope Data'!$J$4:$J$289,MATCH(1,(Analysis!$D$32='Lagging Envelope Data'!$B$4:$B$289)*(Analysis!$D$33='Lagging Envelope Data'!$C$4:$C$289)*(Analysis!$D$34='Lagging Envelope Data'!$E$4:$E$289)*("Shear Modulus"='Lagging Envelope Data'!$G$4:$G$289),0))</f>
        <v>1.304</v>
      </c>
      <c r="AH36" t="s">
        <v>46</v>
      </c>
      <c r="AI36" s="1">
        <v>0</v>
      </c>
      <c r="AJ36" t="s">
        <v>218</v>
      </c>
    </row>
    <row r="37" spans="2:39" x14ac:dyDescent="0.35">
      <c r="AI37" s="1">
        <v>0</v>
      </c>
    </row>
    <row r="38" spans="2:39" x14ac:dyDescent="0.35">
      <c r="B38" s="10" t="s">
        <v>22</v>
      </c>
      <c r="D38" s="1"/>
      <c r="E38" s="1"/>
      <c r="AG38" s="1"/>
      <c r="AI38" s="1">
        <v>0</v>
      </c>
    </row>
    <row r="39" spans="2:39" x14ac:dyDescent="0.35">
      <c r="B39" s="4" t="s">
        <v>22</v>
      </c>
      <c r="D39" s="82" t="s">
        <v>71</v>
      </c>
      <c r="E39" s="70" t="s">
        <v>102</v>
      </c>
      <c r="AH39" t="s">
        <v>102</v>
      </c>
      <c r="AI39" s="1">
        <v>0</v>
      </c>
      <c r="AJ39" t="s">
        <v>102</v>
      </c>
    </row>
    <row r="40" spans="2:39" x14ac:dyDescent="0.35">
      <c r="B40" s="10"/>
      <c r="C40" s="1"/>
      <c r="AI40" s="1">
        <v>0</v>
      </c>
    </row>
    <row r="41" spans="2:39" x14ac:dyDescent="0.35">
      <c r="B41" s="10" t="s">
        <v>244</v>
      </c>
      <c r="C41" s="1"/>
      <c r="AI41" s="1">
        <v>0</v>
      </c>
    </row>
    <row r="42" spans="2:39" x14ac:dyDescent="0.35">
      <c r="B42" s="4" t="s">
        <v>245</v>
      </c>
      <c r="C42" s="73" t="s">
        <v>253</v>
      </c>
      <c r="D42" s="83">
        <v>1</v>
      </c>
      <c r="E42" s="40" t="s">
        <v>30</v>
      </c>
      <c r="AG42" s="28">
        <f>IF($D$4="Metric",D42,D42*AI42)</f>
        <v>1</v>
      </c>
      <c r="AH42" t="s">
        <v>30</v>
      </c>
      <c r="AI42" s="8">
        <v>25.4</v>
      </c>
      <c r="AJ42" t="s">
        <v>219</v>
      </c>
    </row>
    <row r="43" spans="2:39" x14ac:dyDescent="0.35">
      <c r="B43" s="4" t="s">
        <v>246</v>
      </c>
      <c r="C43" s="73" t="s">
        <v>251</v>
      </c>
      <c r="D43" s="83">
        <v>1000</v>
      </c>
      <c r="E43" s="40" t="s">
        <v>30</v>
      </c>
      <c r="AG43" s="28">
        <f>IF($D$4="Metric",D43,D43*AI43)</f>
        <v>1000</v>
      </c>
      <c r="AH43" t="s">
        <v>30</v>
      </c>
      <c r="AI43" s="8">
        <v>25.4</v>
      </c>
      <c r="AJ43" t="s">
        <v>219</v>
      </c>
    </row>
    <row r="44" spans="2:39" x14ac:dyDescent="0.35">
      <c r="B44" s="4"/>
      <c r="C44" s="73"/>
      <c r="D44" s="72"/>
      <c r="E44" s="36"/>
      <c r="AI44" s="1">
        <v>0</v>
      </c>
    </row>
    <row r="45" spans="2:39" x14ac:dyDescent="0.35">
      <c r="B45" s="4" t="s">
        <v>247</v>
      </c>
      <c r="C45" s="73" t="s">
        <v>252</v>
      </c>
      <c r="D45" s="83">
        <v>1</v>
      </c>
      <c r="E45" s="40" t="s">
        <v>30</v>
      </c>
      <c r="AG45" s="28">
        <f>IF($D$4="Metric",D45,D45*AI45)</f>
        <v>1</v>
      </c>
      <c r="AH45" t="s">
        <v>30</v>
      </c>
      <c r="AI45" s="8">
        <v>25.4</v>
      </c>
      <c r="AJ45" t="s">
        <v>219</v>
      </c>
    </row>
    <row r="46" spans="2:39" x14ac:dyDescent="0.35">
      <c r="B46" s="4" t="s">
        <v>248</v>
      </c>
      <c r="C46" s="73" t="s">
        <v>250</v>
      </c>
      <c r="D46" s="83">
        <v>1000</v>
      </c>
      <c r="E46" s="40" t="s">
        <v>30</v>
      </c>
      <c r="AG46" s="28">
        <f>IF($D$4="Metric",D46,D46*AI46)</f>
        <v>1000</v>
      </c>
      <c r="AH46" t="s">
        <v>30</v>
      </c>
      <c r="AI46" s="8">
        <v>25.4</v>
      </c>
      <c r="AJ46" t="s">
        <v>219</v>
      </c>
    </row>
    <row r="47" spans="2:39" x14ac:dyDescent="0.35">
      <c r="B47" s="4"/>
      <c r="C47" s="1"/>
      <c r="D47" s="74">
        <v>0</v>
      </c>
      <c r="E47" s="36"/>
      <c r="AG47" s="169">
        <f>IF($D$4="Metric",D47,D47*AI47)</f>
        <v>0</v>
      </c>
      <c r="AI47" s="1">
        <v>0</v>
      </c>
    </row>
    <row r="48" spans="2:39" x14ac:dyDescent="0.35">
      <c r="B48" s="4" t="s">
        <v>249</v>
      </c>
      <c r="C48" s="6" t="s">
        <v>164</v>
      </c>
      <c r="D48" s="17">
        <f>AG48/IF($D$4="Imperial",25.4,1)</f>
        <v>2</v>
      </c>
      <c r="E48" s="36" t="s">
        <v>30</v>
      </c>
      <c r="AG48" s="75">
        <f>AG42+AG45</f>
        <v>2</v>
      </c>
      <c r="AH48" t="s">
        <v>30</v>
      </c>
      <c r="AI48" s="1">
        <v>0</v>
      </c>
      <c r="AJ48" t="s">
        <v>219</v>
      </c>
    </row>
    <row r="49" spans="2:36" x14ac:dyDescent="0.35">
      <c r="D49" s="6"/>
      <c r="E49" s="6"/>
    </row>
    <row r="50" spans="2:36" x14ac:dyDescent="0.35">
      <c r="B50" s="10" t="s">
        <v>318</v>
      </c>
      <c r="C50" s="4"/>
      <c r="D50" s="4"/>
      <c r="E50" s="4"/>
    </row>
    <row r="51" spans="2:36" x14ac:dyDescent="0.35">
      <c r="B51" s="4" t="s">
        <v>300</v>
      </c>
      <c r="C51" s="6" t="s">
        <v>322</v>
      </c>
      <c r="D51" s="114">
        <v>0</v>
      </c>
      <c r="E51" t="s">
        <v>30</v>
      </c>
      <c r="AG51" s="28">
        <f>IF($D$4="Metric",D51,D51*AI51)</f>
        <v>0</v>
      </c>
      <c r="AH51" t="s">
        <v>30</v>
      </c>
      <c r="AI51" s="8">
        <v>25.4</v>
      </c>
      <c r="AJ51" t="s">
        <v>219</v>
      </c>
    </row>
    <row r="52" spans="2:36" x14ac:dyDescent="0.35">
      <c r="B52" s="4" t="s">
        <v>305</v>
      </c>
      <c r="C52" s="6" t="s">
        <v>319</v>
      </c>
      <c r="D52" s="114">
        <v>0</v>
      </c>
      <c r="E52" t="s">
        <v>306</v>
      </c>
      <c r="AG52" s="28">
        <f>IF($D$4="Metric",D52,D52*AI52)</f>
        <v>0</v>
      </c>
      <c r="AH52" t="s">
        <v>306</v>
      </c>
      <c r="AI52" s="8">
        <v>1</v>
      </c>
      <c r="AJ52" t="s">
        <v>220</v>
      </c>
    </row>
    <row r="53" spans="2:36" x14ac:dyDescent="0.35">
      <c r="B53" s="4" t="s">
        <v>302</v>
      </c>
      <c r="C53" s="6" t="s">
        <v>323</v>
      </c>
      <c r="D53" s="17">
        <f>AG53/IF($D$4="Imperial",25.4,1)</f>
        <v>0</v>
      </c>
      <c r="E53" s="36" t="s">
        <v>30</v>
      </c>
      <c r="AG53" s="124">
        <f>$BL$102*SIN(RADIANS($AG$52))</f>
        <v>0</v>
      </c>
      <c r="AH53" t="s">
        <v>30</v>
      </c>
      <c r="AI53" s="1">
        <v>0</v>
      </c>
      <c r="AJ53" t="s">
        <v>219</v>
      </c>
    </row>
    <row r="54" spans="2:36" x14ac:dyDescent="0.35">
      <c r="B54" s="4" t="s">
        <v>301</v>
      </c>
      <c r="C54" s="6" t="s">
        <v>321</v>
      </c>
      <c r="D54" s="118">
        <v>0</v>
      </c>
      <c r="E54" t="s">
        <v>30</v>
      </c>
      <c r="AG54" s="28">
        <f>IF($D$4="Metric",D54,D54*AI54)</f>
        <v>0</v>
      </c>
      <c r="AH54" t="s">
        <v>30</v>
      </c>
      <c r="AI54" s="8">
        <v>25.4</v>
      </c>
      <c r="AJ54" t="s">
        <v>219</v>
      </c>
    </row>
    <row r="55" spans="2:36" x14ac:dyDescent="0.35">
      <c r="B55" s="4" t="s">
        <v>303</v>
      </c>
      <c r="C55" s="6" t="s">
        <v>320</v>
      </c>
      <c r="D55" s="118">
        <v>0</v>
      </c>
      <c r="E55" t="s">
        <v>30</v>
      </c>
      <c r="AG55" s="28">
        <f>IF($D$4="Metric",D55,D55*AI55)</f>
        <v>0</v>
      </c>
      <c r="AH55" t="s">
        <v>30</v>
      </c>
      <c r="AI55" s="8">
        <v>25.4</v>
      </c>
      <c r="AJ55" t="s">
        <v>219</v>
      </c>
    </row>
    <row r="56" spans="2:36" x14ac:dyDescent="0.35">
      <c r="B56" s="4"/>
      <c r="D56" s="6"/>
    </row>
    <row r="57" spans="2:36" x14ac:dyDescent="0.35">
      <c r="B57" s="4"/>
      <c r="D57" s="6"/>
    </row>
    <row r="58" spans="2:36" x14ac:dyDescent="0.35">
      <c r="B58" s="4"/>
      <c r="D58" s="6"/>
    </row>
    <row r="59" spans="2:36" x14ac:dyDescent="0.35">
      <c r="B59" s="4"/>
      <c r="D59" s="6"/>
    </row>
    <row r="60" spans="2:36" x14ac:dyDescent="0.35">
      <c r="B60" s="4"/>
      <c r="D60" s="6"/>
    </row>
    <row r="61" spans="2:36" x14ac:dyDescent="0.35">
      <c r="B61" s="4"/>
      <c r="D61" s="6"/>
    </row>
    <row r="62" spans="2:36" x14ac:dyDescent="0.35">
      <c r="B62" s="4"/>
      <c r="D62" s="6"/>
    </row>
    <row r="63" spans="2:36" x14ac:dyDescent="0.35">
      <c r="B63" s="4"/>
      <c r="D63" s="6"/>
    </row>
    <row r="64" spans="2:36" x14ac:dyDescent="0.35">
      <c r="B64" s="4"/>
      <c r="D64" s="6"/>
    </row>
    <row r="65" spans="2:17" x14ac:dyDescent="0.35">
      <c r="B65" s="4"/>
      <c r="D65" s="6"/>
    </row>
    <row r="66" spans="2:17" x14ac:dyDescent="0.35">
      <c r="B66" s="4"/>
      <c r="D66" s="6"/>
    </row>
    <row r="67" spans="2:17" x14ac:dyDescent="0.35">
      <c r="B67" s="4"/>
      <c r="D67" s="6"/>
    </row>
    <row r="68" spans="2:17" x14ac:dyDescent="0.35">
      <c r="B68" s="4"/>
      <c r="D68" s="6"/>
    </row>
    <row r="69" spans="2:17" x14ac:dyDescent="0.35">
      <c r="B69" s="2" t="s">
        <v>2</v>
      </c>
      <c r="C69" s="71"/>
      <c r="D69" s="1"/>
    </row>
    <row r="70" spans="2:17" x14ac:dyDescent="0.35">
      <c r="B70" s="4" t="s">
        <v>7</v>
      </c>
      <c r="C70" s="6" t="s">
        <v>6</v>
      </c>
      <c r="D70" s="15">
        <f>AG7-AG8</f>
        <v>507</v>
      </c>
      <c r="E70" t="s">
        <v>0</v>
      </c>
      <c r="F70" s="4" t="s">
        <v>226</v>
      </c>
      <c r="G70" s="27">
        <v>1</v>
      </c>
      <c r="I70" s="112" t="s">
        <v>278</v>
      </c>
    </row>
    <row r="71" spans="2:17" x14ac:dyDescent="0.35">
      <c r="B71" s="4" t="s">
        <v>63</v>
      </c>
      <c r="C71" s="6" t="s">
        <v>18</v>
      </c>
      <c r="D71" s="15">
        <f>(2*D70)/(RADIANS(AG22)*D77*AG18)</f>
        <v>109.61478819865981</v>
      </c>
      <c r="E71" t="s">
        <v>19</v>
      </c>
      <c r="F71" s="4" t="s">
        <v>232</v>
      </c>
      <c r="G71" s="27">
        <v>1</v>
      </c>
      <c r="I71" s="4" t="s">
        <v>16</v>
      </c>
      <c r="J71" s="113">
        <v>3789055679467.874</v>
      </c>
    </row>
    <row r="72" spans="2:17" x14ac:dyDescent="0.35">
      <c r="B72" s="4" t="s">
        <v>275</v>
      </c>
      <c r="D72" s="111">
        <f>(($AG$9*60)/(PI()*$D$77))*60*$AG$10*5</f>
        <v>125737242.57886153</v>
      </c>
      <c r="E72" t="s">
        <v>274</v>
      </c>
      <c r="F72" s="4" t="s">
        <v>233</v>
      </c>
      <c r="G72" s="27">
        <v>1</v>
      </c>
      <c r="I72" s="4" t="s">
        <v>76</v>
      </c>
      <c r="J72" s="113">
        <v>4.0366276200080078</v>
      </c>
    </row>
    <row r="73" spans="2:17" x14ac:dyDescent="0.35">
      <c r="B73" s="4" t="s">
        <v>279</v>
      </c>
      <c r="C73" s="6" t="s">
        <v>280</v>
      </c>
      <c r="D73" s="15">
        <f>($J$73+((-LN(D72/$J$71))^(1/$J$74)))/$J$72</f>
        <v>66.549267627326671</v>
      </c>
      <c r="E73" t="s">
        <v>281</v>
      </c>
      <c r="F73" s="4" t="s">
        <v>283</v>
      </c>
      <c r="G73" s="17">
        <f>D73/$J$75</f>
        <v>1.0238348865742566</v>
      </c>
      <c r="I73" s="4" t="s">
        <v>276</v>
      </c>
      <c r="J73" s="113">
        <v>0</v>
      </c>
    </row>
    <row r="74" spans="2:17" x14ac:dyDescent="0.35">
      <c r="B74" s="4" t="s">
        <v>36</v>
      </c>
      <c r="C74" s="6" t="s">
        <v>37</v>
      </c>
      <c r="D74" s="13">
        <f>PI()*$D$77*($AG$22/360)</f>
        <v>3.0835255493759419</v>
      </c>
      <c r="E74" t="s">
        <v>3</v>
      </c>
      <c r="F74" s="4" t="s">
        <v>417</v>
      </c>
      <c r="G74" s="17">
        <f>IF($D$35="Cold Bond",0.45,1)</f>
        <v>1</v>
      </c>
      <c r="I74" s="4" t="s">
        <v>277</v>
      </c>
      <c r="J74" s="113">
        <v>0.41718224898537565</v>
      </c>
      <c r="Q74" s="1"/>
    </row>
    <row r="75" spans="2:17" x14ac:dyDescent="0.35">
      <c r="B75" s="4" t="s">
        <v>62</v>
      </c>
      <c r="C75" s="6" t="s">
        <v>35</v>
      </c>
      <c r="D75" s="24">
        <f>$AG$16*$AG$18</f>
        <v>680400</v>
      </c>
      <c r="E75" t="s">
        <v>0</v>
      </c>
      <c r="I75" s="4" t="s">
        <v>282</v>
      </c>
      <c r="J75" s="113">
        <v>65</v>
      </c>
      <c r="K75" t="s">
        <v>281</v>
      </c>
    </row>
    <row r="76" spans="2:17" x14ac:dyDescent="0.35">
      <c r="B76" s="4" t="s">
        <v>38</v>
      </c>
      <c r="C76" s="6" t="s">
        <v>39</v>
      </c>
      <c r="D76" s="25">
        <f>(D70/D75)*D74*1000</f>
        <v>2.2976887912016499</v>
      </c>
      <c r="E76" t="s">
        <v>30</v>
      </c>
    </row>
    <row r="77" spans="2:17" x14ac:dyDescent="0.35">
      <c r="B77" s="4" t="s">
        <v>289</v>
      </c>
      <c r="C77" s="6" t="s">
        <v>14</v>
      </c>
      <c r="D77" s="115">
        <f>$AG$21+(2*($AG$33/1000))</f>
        <v>1.974</v>
      </c>
      <c r="E77" t="s">
        <v>3</v>
      </c>
      <c r="F77" s="8"/>
    </row>
    <row r="78" spans="2:17" x14ac:dyDescent="0.35">
      <c r="B78" s="4" t="s">
        <v>40</v>
      </c>
      <c r="C78" s="6" t="s">
        <v>41</v>
      </c>
      <c r="D78" s="26">
        <f>(($AG$22/90)/360)*PI()*$D$77</f>
        <v>3.4261394993066019E-2</v>
      </c>
      <c r="E78" t="s">
        <v>42</v>
      </c>
    </row>
    <row r="79" spans="2:17" x14ac:dyDescent="0.35">
      <c r="B79" s="4" t="s">
        <v>27</v>
      </c>
      <c r="C79" s="6" t="s">
        <v>29</v>
      </c>
      <c r="D79" s="26">
        <f>D78*$AG$18</f>
        <v>5.1392092489599028E-2</v>
      </c>
      <c r="E79" t="s">
        <v>28</v>
      </c>
    </row>
    <row r="80" spans="2:17" x14ac:dyDescent="0.35">
      <c r="B80" s="4"/>
      <c r="D80" s="3"/>
    </row>
    <row r="81" spans="2:83" x14ac:dyDescent="0.35">
      <c r="B81" s="4" t="s">
        <v>54</v>
      </c>
      <c r="C81" s="6" t="s">
        <v>58</v>
      </c>
      <c r="D81" s="15">
        <f>AG29*1000/AG25</f>
        <v>211.51366980298459</v>
      </c>
      <c r="E81" t="s">
        <v>57</v>
      </c>
    </row>
    <row r="82" spans="2:83" x14ac:dyDescent="0.35">
      <c r="B82" s="4" t="s">
        <v>56</v>
      </c>
      <c r="C82" s="6" t="s">
        <v>55</v>
      </c>
      <c r="D82" s="15">
        <f>AG36*1000/AG33</f>
        <v>108.66666666666667</v>
      </c>
      <c r="E82" t="s">
        <v>57</v>
      </c>
      <c r="H82" s="6" t="s">
        <v>332</v>
      </c>
    </row>
    <row r="83" spans="2:83" x14ac:dyDescent="0.35">
      <c r="B83" s="4"/>
      <c r="D83" s="6"/>
      <c r="F83" s="6" t="s">
        <v>181</v>
      </c>
      <c r="G83" s="6" t="s">
        <v>182</v>
      </c>
      <c r="H83" s="6" t="s">
        <v>331</v>
      </c>
    </row>
    <row r="84" spans="2:83" x14ac:dyDescent="0.35">
      <c r="B84" s="4" t="s">
        <v>254</v>
      </c>
      <c r="D84" s="15">
        <f>IF(AG42=0,10000,((AG43^2)/(8*ABS(AG42)))+(ABS(AG42)/2))</f>
        <v>125000.5</v>
      </c>
      <c r="E84" t="s">
        <v>30</v>
      </c>
      <c r="F84" s="16">
        <f>(($AG$18*1000)/2)+H84</f>
        <v>750</v>
      </c>
      <c r="G84" s="16">
        <f>IF(AG42&gt;0,(AG42-D84),(AG42+D84))</f>
        <v>-124999.5</v>
      </c>
      <c r="H84" s="134">
        <v>0</v>
      </c>
    </row>
    <row r="85" spans="2:83" x14ac:dyDescent="0.35">
      <c r="B85" s="4" t="s">
        <v>255</v>
      </c>
      <c r="D85" s="15">
        <f>IF(AG45=0,10000,((AG46^2)/(8*ABS(AG45)))+(ABS(AG45)/2))</f>
        <v>125000.5</v>
      </c>
      <c r="E85" t="s">
        <v>30</v>
      </c>
      <c r="F85" s="16">
        <f>($AG$18*1000)/2</f>
        <v>750</v>
      </c>
      <c r="G85" s="16">
        <f>IF(AG45&gt;0,(AG45-D85),(AG45+D85))</f>
        <v>-124999.5</v>
      </c>
    </row>
    <row r="86" spans="2:83" x14ac:dyDescent="0.35">
      <c r="B86" s="4"/>
      <c r="C86" s="4"/>
      <c r="D86" s="4"/>
      <c r="E86" s="4"/>
      <c r="F86" s="4"/>
      <c r="J86" t="s">
        <v>314</v>
      </c>
      <c r="K86" t="s">
        <v>315</v>
      </c>
    </row>
    <row r="87" spans="2:83" x14ac:dyDescent="0.35">
      <c r="B87" s="4" t="s">
        <v>165</v>
      </c>
      <c r="D87" s="24">
        <f>((0.009*$AG$16)+11450)/$K$87</f>
        <v>14692.62508136211</v>
      </c>
      <c r="E87" t="s">
        <v>30</v>
      </c>
      <c r="G87" s="4" t="s">
        <v>312</v>
      </c>
      <c r="H87" s="118">
        <f>$AG$26</f>
        <v>70</v>
      </c>
      <c r="I87" t="s">
        <v>311</v>
      </c>
      <c r="J87" s="13">
        <f>((0.0981*(56+(7.62336*$H$87)))/((0.137505*(254-2.54*$H$87))))</f>
        <v>5.5205067818578977</v>
      </c>
      <c r="K87" s="13">
        <f>(J87/4.42)^0.25</f>
        <v>1.0571562204839189</v>
      </c>
      <c r="M87" t="s">
        <v>342</v>
      </c>
      <c r="W87" s="1"/>
      <c r="X87" s="1"/>
      <c r="Y87" s="1"/>
      <c r="Z87" s="1"/>
      <c r="AA87" s="1"/>
      <c r="AB87" s="1"/>
      <c r="AC87" s="1"/>
      <c r="AD87" s="1"/>
      <c r="AE87" s="1"/>
      <c r="AF87" s="1"/>
      <c r="AG87" s="1"/>
      <c r="AN87" s="4"/>
      <c r="AO87" s="6"/>
      <c r="AP87" s="11"/>
      <c r="AQ87" s="11"/>
    </row>
    <row r="88" spans="2:83" x14ac:dyDescent="0.35">
      <c r="B88" s="4" t="s">
        <v>173</v>
      </c>
      <c r="D88" s="51">
        <f>IF(AG48&gt;0,ABS(AR209-AR208),ABS(AR210-AR208))*IF(D71&lt;0,-1,1)</f>
        <v>3.4985513435987738</v>
      </c>
      <c r="E88" t="s">
        <v>30</v>
      </c>
      <c r="F88" t="s">
        <v>418</v>
      </c>
      <c r="V88" s="4"/>
      <c r="W88" s="1"/>
      <c r="X88" s="1"/>
      <c r="Y88" s="1"/>
      <c r="Z88" s="1"/>
      <c r="AA88" s="1"/>
      <c r="AB88" s="1"/>
      <c r="AC88" s="1"/>
      <c r="AD88" s="1"/>
      <c r="AE88" s="1"/>
      <c r="AF88" s="1"/>
      <c r="AG88" s="1"/>
    </row>
    <row r="89" spans="2:83" x14ac:dyDescent="0.35">
      <c r="B89" s="4" t="s">
        <v>178</v>
      </c>
      <c r="D89" s="51">
        <f>$AV$209+$BS$209</f>
        <v>-114.60769306767702</v>
      </c>
      <c r="E89" t="s">
        <v>0</v>
      </c>
      <c r="F89" t="s">
        <v>326</v>
      </c>
      <c r="R89" t="s">
        <v>115</v>
      </c>
      <c r="S89" s="137">
        <f t="shared" ref="S89:Y92" si="0">IF(AND(ISERROR(Z108),$AL108=0),1000,Z108)</f>
        <v>1000</v>
      </c>
      <c r="T89" s="130">
        <f t="shared" si="0"/>
        <v>1000</v>
      </c>
      <c r="U89" s="130">
        <f t="shared" si="0"/>
        <v>1000</v>
      </c>
      <c r="V89" s="130">
        <f t="shared" si="0"/>
        <v>1000</v>
      </c>
      <c r="W89" s="130">
        <f t="shared" si="0"/>
        <v>1000</v>
      </c>
      <c r="X89" s="130">
        <f t="shared" si="0"/>
        <v>1000</v>
      </c>
      <c r="Y89" s="130">
        <f t="shared" si="0"/>
        <v>1000</v>
      </c>
      <c r="Z89" s="129"/>
      <c r="AA89" s="130">
        <f>IF(AND(ISERROR(AG108),$AL108=0),1000,AG108)</f>
        <v>1000</v>
      </c>
      <c r="AB89" s="129"/>
      <c r="AC89" s="130">
        <f>IF(AND(ISERROR(AH108),$AL108=0),1000,AH108)</f>
        <v>1000</v>
      </c>
      <c r="AD89" s="129"/>
      <c r="AE89" s="130">
        <f>IF(AND(ISERROR(AI108),$AL108=0),1000,AI108)</f>
        <v>1000</v>
      </c>
      <c r="AF89" s="129"/>
      <c r="AG89" s="131">
        <f>IF(AND(ISERROR(AJ108),$AL108=0),1000,AJ108)</f>
        <v>1000</v>
      </c>
    </row>
    <row r="90" spans="2:83" x14ac:dyDescent="0.35">
      <c r="B90" s="4" t="s">
        <v>183</v>
      </c>
      <c r="D90" s="16">
        <f>0.7/$K$87</f>
        <v>0.66215379187720358</v>
      </c>
      <c r="R90" t="s">
        <v>116</v>
      </c>
      <c r="S90" s="39">
        <f t="shared" si="0"/>
        <v>357.31837541441553</v>
      </c>
      <c r="T90" s="1">
        <f t="shared" si="0"/>
        <v>351.31526140261616</v>
      </c>
      <c r="U90" s="1">
        <f t="shared" si="0"/>
        <v>340.11539781081416</v>
      </c>
      <c r="V90" s="1">
        <f t="shared" si="0"/>
        <v>324.15237384088948</v>
      </c>
      <c r="W90" s="1">
        <f t="shared" si="0"/>
        <v>314.75478714891767</v>
      </c>
      <c r="X90" s="1">
        <f t="shared" si="0"/>
        <v>305.09973232839872</v>
      </c>
      <c r="Y90" s="1">
        <f t="shared" si="0"/>
        <v>288.62177210137975</v>
      </c>
      <c r="AA90" s="1">
        <f>IF(AND(ISERROR(AG109),$AL109=0),1000,AG109)</f>
        <v>260.94394828255878</v>
      </c>
      <c r="AC90" s="1">
        <f>IF(AND(ISERROR(AH109),$AL109=0),1000,AH109)</f>
        <v>235.96953981348307</v>
      </c>
      <c r="AE90" s="1">
        <f>IF(AND(ISERROR(AI109),$AL109=0),1000,AI109)</f>
        <v>235.58333762066235</v>
      </c>
      <c r="AG90" s="102">
        <f>IF(AND(ISERROR(AJ109),$AL109=0),1000,AJ109)</f>
        <v>208.80665225175645</v>
      </c>
    </row>
    <row r="91" spans="2:83" x14ac:dyDescent="0.35">
      <c r="R91" t="s">
        <v>117</v>
      </c>
      <c r="S91" s="39">
        <f t="shared" si="0"/>
        <v>357.31837541441553</v>
      </c>
      <c r="T91" s="1">
        <f t="shared" si="0"/>
        <v>357.75196461629542</v>
      </c>
      <c r="U91" s="1">
        <f t="shared" si="0"/>
        <v>350.92905920979535</v>
      </c>
      <c r="V91" s="1">
        <f t="shared" si="0"/>
        <v>356.59335803783318</v>
      </c>
      <c r="W91" s="1">
        <f t="shared" si="0"/>
        <v>349.89918669560666</v>
      </c>
      <c r="X91" s="1">
        <f t="shared" si="0"/>
        <v>353.63247455954064</v>
      </c>
      <c r="Y91" s="1">
        <f t="shared" si="0"/>
        <v>345.52222851030473</v>
      </c>
      <c r="AA91" s="1">
        <f>IF(AND(ISERROR(AG110),$AL110=0),1000,AG110)</f>
        <v>307.15947735677611</v>
      </c>
      <c r="AC91" s="1">
        <f>IF(AND(ISERROR(AH110),$AL110=0),1000,AH110)</f>
        <v>265.06343833931351</v>
      </c>
      <c r="AE91" s="1">
        <f>IF(AND(ISERROR(AI110),$AL110=0),1000,AI110)</f>
        <v>209.45032257312437</v>
      </c>
      <c r="AG91" s="102">
        <f>IF(AND(ISERROR(AJ110),$AL110=0),1000,AJ110)</f>
        <v>160.91758034198247</v>
      </c>
    </row>
    <row r="92" spans="2:83" x14ac:dyDescent="0.35">
      <c r="B92" s="4" t="s">
        <v>99</v>
      </c>
      <c r="D92" s="110" t="str">
        <f>INDEX('Lagging Envelope Data'!F$4:F$289,MATCH(Analysis!D32,'Lagging Envelope Data'!$B$4:$B$289,0))</f>
        <v>Med Ceramic</v>
      </c>
      <c r="R92" t="s">
        <v>118</v>
      </c>
      <c r="S92" s="138">
        <f t="shared" si="0"/>
        <v>323.53182415746505</v>
      </c>
      <c r="T92" s="107">
        <f t="shared" si="0"/>
        <v>321.44895849114414</v>
      </c>
      <c r="U92" s="107">
        <f t="shared" si="0"/>
        <v>306.00087077831387</v>
      </c>
      <c r="V92" s="107">
        <f t="shared" si="0"/>
        <v>287.07696333009676</v>
      </c>
      <c r="W92" s="107">
        <f t="shared" si="0"/>
        <v>282.57127108052123</v>
      </c>
      <c r="X92" s="107">
        <f t="shared" si="0"/>
        <v>269.56913058888898</v>
      </c>
      <c r="Y92" s="107">
        <f t="shared" si="0"/>
        <v>248.97168030511529</v>
      </c>
      <c r="Z92" s="96"/>
      <c r="AA92" s="107">
        <f>IF(AND(ISERROR(AG111),$AL111=0),1000,AG111)</f>
        <v>225.41334654304904</v>
      </c>
      <c r="AB92" s="96"/>
      <c r="AC92" s="107">
        <f>IF(AND(ISERROR(AH111),$AL111=0),1000,AH111)</f>
        <v>197.73552272422805</v>
      </c>
      <c r="AD92" s="96"/>
      <c r="AE92" s="107">
        <f>IF(AND(ISERROR(AI111),$AL111=0),1000,AI111)</f>
        <v>158.21416499223716</v>
      </c>
      <c r="AF92" s="96"/>
      <c r="AG92" s="132">
        <f>IF(AND(ISERROR(AJ111),$AL111=0),1000,AJ111)</f>
        <v>132.59608620179355</v>
      </c>
    </row>
    <row r="93" spans="2:83" x14ac:dyDescent="0.35">
      <c r="B93" s="4" t="s">
        <v>265</v>
      </c>
      <c r="C93" s="6" t="s">
        <v>266</v>
      </c>
      <c r="D93" s="27">
        <f>INDEX('Variable Friction Data'!$I$5:$I$15,MATCH(Analysis!$D$92,'Variable Friction Data'!$C$5:$C$15,0))</f>
        <v>0.35</v>
      </c>
      <c r="E93" t="s">
        <v>71</v>
      </c>
      <c r="S93" s="95"/>
      <c r="T93" s="96"/>
      <c r="U93" s="96"/>
      <c r="V93" s="96"/>
      <c r="W93" s="96"/>
      <c r="X93" s="96"/>
      <c r="Y93" s="96"/>
      <c r="Z93" s="96"/>
      <c r="AA93" s="96"/>
      <c r="AB93" s="96"/>
      <c r="AC93" s="96"/>
      <c r="AD93" s="107"/>
      <c r="AE93" s="107"/>
      <c r="AF93" s="107"/>
      <c r="AG93" s="132"/>
      <c r="BP93" s="58"/>
    </row>
    <row r="94" spans="2:83" x14ac:dyDescent="0.35">
      <c r="B94" s="4" t="s">
        <v>84</v>
      </c>
      <c r="C94" s="6" t="s">
        <v>16</v>
      </c>
      <c r="D94" s="27">
        <f>INDEX('Variable Friction Data'!$D$5:$D$15,MATCH(Analysis!$D$92,'Variable Friction Data'!$C$5:$C$15,0))</f>
        <v>-1.5E-3</v>
      </c>
      <c r="E94" s="27" cm="1">
        <f t="array" ref="E94">INDEX('Variable Friction Data'!$D$5:$D$15,MATCH(1,(E$93='Variable Friction Data'!$B$5:$B$15) * (Analysis!$D$92='Variable Friction Data'!$C$5:$C$15),0))</f>
        <v>-1.5E-3</v>
      </c>
      <c r="P94" s="128"/>
      <c r="Q94" s="129">
        <v>0</v>
      </c>
      <c r="R94" s="130">
        <f>S94</f>
        <v>100</v>
      </c>
      <c r="S94" s="130">
        <f t="shared" ref="S94:Y94" si="1">Z104</f>
        <v>100</v>
      </c>
      <c r="T94" s="130">
        <f t="shared" si="1"/>
        <v>200</v>
      </c>
      <c r="U94" s="130">
        <f t="shared" si="1"/>
        <v>300</v>
      </c>
      <c r="V94" s="130">
        <f t="shared" si="1"/>
        <v>400</v>
      </c>
      <c r="W94" s="130">
        <f t="shared" si="1"/>
        <v>500</v>
      </c>
      <c r="X94" s="130">
        <f t="shared" si="1"/>
        <v>600</v>
      </c>
      <c r="Y94" s="130">
        <f t="shared" si="1"/>
        <v>700</v>
      </c>
      <c r="Z94" s="130">
        <f>AVERAGE(Y94,AA94)</f>
        <v>800</v>
      </c>
      <c r="AA94" s="130">
        <f>AG104</f>
        <v>900</v>
      </c>
      <c r="AB94" s="130">
        <f>AVERAGE(AA94,AC94)</f>
        <v>1000</v>
      </c>
      <c r="AC94" s="130">
        <f>AH104</f>
        <v>1100</v>
      </c>
      <c r="AD94" s="130">
        <f>AVERAGE(AC94,AE94)</f>
        <v>1200</v>
      </c>
      <c r="AE94" s="130">
        <f>AI104</f>
        <v>1300</v>
      </c>
      <c r="AF94" s="130">
        <f>AE94+(AE94-AD94)</f>
        <v>1400</v>
      </c>
      <c r="AG94" s="131">
        <f>AJ104</f>
        <v>1500</v>
      </c>
      <c r="BU94" s="3"/>
    </row>
    <row r="95" spans="2:83" x14ac:dyDescent="0.35">
      <c r="B95" s="4"/>
      <c r="C95" s="6" t="s">
        <v>76</v>
      </c>
      <c r="D95" s="27">
        <f>INDEX('Variable Friction Data'!$E$5:$E$15,MATCH(Analysis!$D$92,'Variable Friction Data'!$C$5:$C$15,0))</f>
        <v>1.3939999999999999</v>
      </c>
      <c r="E95" s="27" cm="1">
        <f t="array" ref="E95">INDEX('Variable Friction Data'!$E$5:$E$15,MATCH(1,(E$93='Variable Friction Data'!$B$5:$B$15) * (Analysis!$D$92='Variable Friction Data'!$C$5:$C$15),0))</f>
        <v>1.3939999999999999</v>
      </c>
      <c r="I95" s="64"/>
      <c r="P95" s="89" t="s">
        <v>343</v>
      </c>
      <c r="Q95">
        <v>0</v>
      </c>
      <c r="R95">
        <v>0</v>
      </c>
      <c r="S95" s="1">
        <f t="shared" ref="S95:Y95" si="2">IF(ISERROR(MIN(S89:S92,Z106)),0,MIN(S89:S92,Z106))</f>
        <v>128.30989999999997</v>
      </c>
      <c r="T95" s="1">
        <f t="shared" si="2"/>
        <v>222.70989999999995</v>
      </c>
      <c r="U95" s="1">
        <f t="shared" si="2"/>
        <v>287.10989999999998</v>
      </c>
      <c r="V95" s="1">
        <f t="shared" si="2"/>
        <v>287.07696333009676</v>
      </c>
      <c r="W95" s="1">
        <f t="shared" si="2"/>
        <v>282.57127108052123</v>
      </c>
      <c r="X95" s="1">
        <f t="shared" si="2"/>
        <v>269.56913058888898</v>
      </c>
      <c r="Y95" s="1">
        <f t="shared" si="2"/>
        <v>248.97168030511529</v>
      </c>
      <c r="Z95" s="1">
        <f>AVERAGE(Y95,AA95)</f>
        <v>237.19251342408216</v>
      </c>
      <c r="AA95" s="1">
        <f>IF(ISERROR(MIN(AA89:AA92,AG106)),0,MIN(AA89:AA92,AG106))</f>
        <v>225.41334654304904</v>
      </c>
      <c r="AB95" s="1">
        <f>AVERAGE(AA95,AC95)</f>
        <v>211.57443463363853</v>
      </c>
      <c r="AC95" s="1">
        <f>IF(ISERROR(MIN(AC89:AC92,AH106)),0,MIN(AC89:AC92,AH106))</f>
        <v>197.73552272422805</v>
      </c>
      <c r="AD95" s="1">
        <f>AVERAGE(AC95,AE95)</f>
        <v>177.97484385823259</v>
      </c>
      <c r="AE95" s="1">
        <f>IF(ISERROR(MIN(AE89:AE92,AI106)),0,MIN(AE89:AE92,AI106))</f>
        <v>158.21416499223716</v>
      </c>
      <c r="AF95" s="1">
        <f>AVERAGE(AE95,AG95)</f>
        <v>145.40512559701534</v>
      </c>
      <c r="AG95" s="102">
        <f>IF(ISERROR(MIN(AG89:AG92,AJ106)),0,MIN(AG89:AG92,AJ106))</f>
        <v>132.59608620179355</v>
      </c>
    </row>
    <row r="96" spans="2:83" x14ac:dyDescent="0.35">
      <c r="B96" s="4"/>
      <c r="C96" s="6" t="s">
        <v>77</v>
      </c>
      <c r="D96" s="27">
        <f>INDEX('Variable Friction Data'!$F$5:$F$15,MATCH(Analysis!$D$92,'Variable Friction Data'!$C$5:$C$15,0))</f>
        <v>3.9098999999999999</v>
      </c>
      <c r="E96" s="27" cm="1">
        <f t="array" ref="E96">INDEX('Variable Friction Data'!$F$5:$F$15,MATCH(1,(E$93='Variable Friction Data'!$B$5:$B$15) * (Analysis!$D$92='Variable Friction Data'!$C$5:$C$15),0))</f>
        <v>3.9098999999999999</v>
      </c>
      <c r="H96" s="65" t="str">
        <f>IF($D$4="Metric","Normal Pressure / Shear Stress (kPa)","Normal Pressure / Shear Stress (psi)")</f>
        <v>Normal Pressure / Shear Stress (kPa)</v>
      </c>
      <c r="P96" s="95" t="s">
        <v>344</v>
      </c>
      <c r="Q96" s="96">
        <v>0</v>
      </c>
      <c r="R96" s="96">
        <v>0</v>
      </c>
      <c r="S96" s="107">
        <f>$AD$98-S95</f>
        <v>279.69010000000003</v>
      </c>
      <c r="T96" s="107">
        <f t="shared" ref="T96:Y96" si="3">$AD$98-T95</f>
        <v>185.29010000000005</v>
      </c>
      <c r="U96" s="107">
        <f t="shared" si="3"/>
        <v>120.89010000000002</v>
      </c>
      <c r="V96" s="107">
        <f t="shared" si="3"/>
        <v>120.92303666990324</v>
      </c>
      <c r="W96" s="107">
        <f t="shared" si="3"/>
        <v>125.42872891947877</v>
      </c>
      <c r="X96" s="107">
        <f t="shared" si="3"/>
        <v>138.43086941111102</v>
      </c>
      <c r="Y96" s="107">
        <f t="shared" si="3"/>
        <v>159.02831969488471</v>
      </c>
      <c r="Z96" s="107">
        <f t="shared" ref="Z96:AG96" si="4">$AD$98-Z95</f>
        <v>170.80748657591784</v>
      </c>
      <c r="AA96" s="107">
        <f t="shared" si="4"/>
        <v>182.58665345695096</v>
      </c>
      <c r="AB96" s="107">
        <f t="shared" si="4"/>
        <v>196.42556536636147</v>
      </c>
      <c r="AC96" s="107">
        <f t="shared" si="4"/>
        <v>210.26447727577195</v>
      </c>
      <c r="AD96" s="107">
        <f t="shared" si="4"/>
        <v>230.02515614176741</v>
      </c>
      <c r="AE96" s="107">
        <f t="shared" si="4"/>
        <v>249.78583500776284</v>
      </c>
      <c r="AF96" s="107">
        <f t="shared" si="4"/>
        <v>262.59487440298466</v>
      </c>
      <c r="AG96" s="132">
        <f t="shared" si="4"/>
        <v>275.40391379820642</v>
      </c>
      <c r="AN96" s="2"/>
      <c r="AO96" s="2"/>
      <c r="AP96" s="2"/>
      <c r="AQ96" s="2"/>
      <c r="AR96" s="2"/>
      <c r="AS96" s="65" t="str">
        <f>IF($D$4="Metric","Tension (kN)","Tension (kips)")</f>
        <v>Tension (kN)</v>
      </c>
      <c r="AU96" s="2"/>
      <c r="BP96" s="65" t="str">
        <f>IF($D$4="Metric","Tension (kN)","Tension (kips)")</f>
        <v>Tension (kN)</v>
      </c>
      <c r="CE96" s="65" t="str">
        <f>IF($D$4="Metric","Tension (kN)","Tension (kips)")</f>
        <v>Tension (kN)</v>
      </c>
    </row>
    <row r="97" spans="2:88" x14ac:dyDescent="0.35">
      <c r="B97" s="4" t="s">
        <v>85</v>
      </c>
      <c r="C97" s="6" t="s">
        <v>73</v>
      </c>
      <c r="D97" s="27">
        <f>INDEX('Variable Friction Data'!$G$5:$G$15,MATCH(Analysis!$D$92,'Variable Friction Data'!$C$5:$C$15,0))</f>
        <v>500</v>
      </c>
      <c r="E97" s="27" cm="1">
        <f t="array" ref="E97">INDEX('Variable Friction Data'!$G$5:$G$15,MATCH(1,(E$93='Variable Friction Data'!$B$5:$B$15) * (Analysis!$D$92='Variable Friction Data'!$C$5:$C$15),0))</f>
        <v>500</v>
      </c>
      <c r="H97" s="109" t="str">
        <f>setChartAxis("Analysis","Chart 2","Max","X","Primary",AG22)</f>
        <v>X Primary Max: 179</v>
      </c>
      <c r="J97" s="109" t="str" cm="1">
        <f t="array" ref="J97">setChartAxis("Analysis","Chart 2","Min","X","Primary",0)</f>
        <v>X Primary Min: 0</v>
      </c>
      <c r="AA97" t="str">
        <f>IF($D$4="Metric","Average Normal Pressure (kPa)","Average Normal Pressure (psi)")</f>
        <v>Average Normal Pressure (kPa)</v>
      </c>
      <c r="AS97" s="65" t="str">
        <f>IF($D$4="Metric","Belt Width - Traverse Position (mm)","Belt Width - Traverse Position (in)")</f>
        <v>Belt Width - Traverse Position (mm)</v>
      </c>
      <c r="BP97" s="65" t="str">
        <f>IF($D$4="Metric","Belt Width - Traverse Position (mm)","Belt Width - Traverse Position (in)")</f>
        <v>Belt Width - Traverse Position (mm)</v>
      </c>
      <c r="CE97" s="65" t="str">
        <f>IF($D$4="Metric","Belt Width - Traverse Position (mm)","Belt Width - Traverse Position (in)")</f>
        <v>Belt Width - Traverse Position (mm)</v>
      </c>
    </row>
    <row r="98" spans="2:88" x14ac:dyDescent="0.35">
      <c r="B98" s="4"/>
      <c r="C98" s="6" t="s">
        <v>74</v>
      </c>
      <c r="D98" s="27">
        <f>INDEX('Variable Friction Data'!$H$5:$H$15,MATCH(Analysis!$D$92,'Variable Friction Data'!$C$5:$C$15,0))</f>
        <v>319</v>
      </c>
      <c r="E98" s="27" cm="1">
        <f t="array" ref="E98">INDEX('Variable Friction Data'!$H$5:$H$15,MATCH(1,(E$93='Variable Friction Data'!$B$5:$B$15) * (Analysis!$D$92='Variable Friction Data'!$C$5:$C$15),0))</f>
        <v>319</v>
      </c>
      <c r="H98" s="109" t="str">
        <f>setChartAxis("Analysis","Chart 2","Max","Y","Primary",L98)</f>
        <v>Y Primary Max: 700</v>
      </c>
      <c r="J98" s="109" t="str">
        <f>setChartAxis("Analysis","Chart 2","Min","Y","Primary",M98)</f>
        <v>Y Primary Min: 0</v>
      </c>
      <c r="L98">
        <f>(INT(1.25+MAX(BA106:BB196)/100))*100</f>
        <v>700</v>
      </c>
      <c r="M98" s="1">
        <f>(INT(1*MIN(AZ106:AZ196)/100))*100</f>
        <v>0</v>
      </c>
      <c r="AA98" s="108" t="str">
        <f>IF($D$4="Metric","Average Shear Stress (kPa)","Average Shear Stress (psi)")</f>
        <v>Average Shear Stress (kPa)</v>
      </c>
      <c r="AD98">
        <f>1.2*INT(MAX((H196/$G$70),AD102)/10)*10</f>
        <v>408</v>
      </c>
      <c r="AE98" s="2"/>
      <c r="AF98" s="2"/>
      <c r="AG98" s="2"/>
      <c r="AH98" s="2"/>
      <c r="AI98" s="2"/>
      <c r="AJ98" s="2"/>
      <c r="AK98" s="4"/>
      <c r="AL98" s="4"/>
      <c r="AS98" s="65" t="str">
        <f>IF($D$4="Metric","Radial Deviation (mm)","Radial Deviation (in)")</f>
        <v>Radial Deviation (mm)</v>
      </c>
      <c r="AU98" s="1"/>
      <c r="AW98" s="36"/>
      <c r="BP98" s="65" t="str">
        <f>IF($D$4="Metric","Transition Height TOP (mm)","Transition Height TOP (in)")</f>
        <v>Transition Height TOP (mm)</v>
      </c>
      <c r="CE98" s="65" t="str">
        <f>"Safety Factor s.f."</f>
        <v>Safety Factor s.f.</v>
      </c>
    </row>
    <row r="99" spans="2:88" x14ac:dyDescent="0.35">
      <c r="B99" s="4" t="s">
        <v>96</v>
      </c>
      <c r="C99" s="6" t="s">
        <v>408</v>
      </c>
      <c r="D99" s="27">
        <f>INDEX('Variable Friction Data'!$J$5:$J$15,MATCH(Analysis!$D$92,'Variable Friction Data'!$C$5:$C$15,0))</f>
        <v>0.69354838709677424</v>
      </c>
      <c r="H99" s="109" t="str">
        <f>setChartAxis("Analysis","Chart 2","Max","Y","Secondary",$L$99)</f>
        <v>Y Secondary Max: 1.1</v>
      </c>
      <c r="J99" s="109" t="str">
        <f>setChartAxis("Analysis","Chart 2","Min","Y","Secondary",($L$99*M98/L98))</f>
        <v>Y Secondary Min: 0</v>
      </c>
      <c r="L99">
        <f>INT(1+(MAX($R$106:$R$196)*10))/10</f>
        <v>1.1000000000000001</v>
      </c>
      <c r="AA99" s="109" t="str" cm="1">
        <f t="array" ref="AA99">setChartAxis("Analysis","Chart 5","Max","X","Primary",AC99)</f>
        <v>X Primary Max: 700</v>
      </c>
      <c r="AC99" s="1">
        <f>IF((INT(MAX($L$106:$L$196)/50)+2)*50&gt;700,1500,700)/G70</f>
        <v>700</v>
      </c>
      <c r="AD99" s="109" t="str" cm="1">
        <f t="array" ref="AD99">setChartAxis("Analysis","Chart 5","Max","Y","Primary",1.2*INT(MAX((H196/$G$70),AD102)/10)*10)</f>
        <v>Y Primary Max: 408</v>
      </c>
      <c r="AF99" s="109" t="str" cm="1">
        <f t="array" ref="AF99">setChartAxis("Analysis","Chart 5","Min","Y","Primary",0)</f>
        <v>Y Primary Min: 0</v>
      </c>
      <c r="AK99" s="4"/>
      <c r="AL99" s="4"/>
      <c r="AR99" s="3"/>
      <c r="BQ99" s="65"/>
      <c r="BU99" s="3"/>
      <c r="CF99" s="65"/>
      <c r="CJ99" s="3"/>
    </row>
    <row r="100" spans="2:88" x14ac:dyDescent="0.35">
      <c r="B100" s="4"/>
      <c r="AA100" s="109" t="str" cm="1">
        <f t="array" ref="AA100">setChartAxis("Analysis","Chart 5","Min","X","Primary",0)</f>
        <v>X Primary Min: 0</v>
      </c>
      <c r="AE100" s="4"/>
      <c r="AK100" s="4"/>
      <c r="AL100" s="4"/>
      <c r="AS100" s="109" t="str">
        <f>setChartAxis("Analysis","Chart 8","Max","X","Primary",INT($BD$206))</f>
        <v>X Primary Max: 1500</v>
      </c>
      <c r="AU100" s="109" t="str" cm="1">
        <f t="array" ref="AU100">setChartAxis("Analysis","Chart 8","Max","Y","Primary",INT($BI$104+(1.5*$BI$103)))</f>
        <v>Y Primary Max: 376</v>
      </c>
      <c r="AX100" s="109" t="str" cm="1">
        <f t="array" ref="AX100">setChartAxis("Analysis","Chart 8","Max","Y","Secondary",BA100)</f>
        <v>Y Secondary Max: 2.4</v>
      </c>
      <c r="BA100">
        <f>IF($D$48&lt;&gt;0,($D$48*1.2),1)</f>
        <v>2.4</v>
      </c>
      <c r="BU100" s="3"/>
      <c r="CJ100" s="3"/>
    </row>
    <row r="101" spans="2:88" x14ac:dyDescent="0.35">
      <c r="B101" s="4"/>
      <c r="C101" s="2" t="str">
        <f>"Pulley Lagging Analysis: " &amp; AG5 &amp; ", " &amp; AG6 &amp; ", " &amp;D39 &amp; CHAR(13) &amp;D32 &amp; ", " &amp; D33 &amp; "mm, " &amp; D34 &amp; " Duro"</f>
        <v>Pulley Lagging Analysis: CV3035, Seconday Drive, Dry Clean_x000D_Elastotec Medium Double Row 42% Dimpled Ceramic, 12mm (1/2")mm, 65 Duro</v>
      </c>
      <c r="L101" s="55">
        <f>MIN($L$106:$L$196)</f>
        <v>237.5872834080505</v>
      </c>
      <c r="M101" t="s">
        <v>297</v>
      </c>
      <c r="V101" s="2" t="str">
        <f>"Lagging Envelope: " &amp;D32 &amp; ", " &amp; D33 &amp; "mm, " &amp; D34 &amp; " Duro"</f>
        <v>Lagging Envelope: Elastotec Medium Double Row 42% Dimpled Ceramic, 12mm (1/2")mm, 65 Duro</v>
      </c>
      <c r="AA101" s="109" t="str" cm="1">
        <f t="array" ref="AA101">setChartAxis("Analysis","Chart 5","MajorUnit","X","Primary",IF($D$4="Metric",100,14.5))</f>
        <v>X Primary MajorUnit: 100</v>
      </c>
      <c r="AD101" s="6" t="s">
        <v>193</v>
      </c>
      <c r="AE101" s="145" t="s">
        <v>446</v>
      </c>
      <c r="AF101" s="145" t="s">
        <v>445</v>
      </c>
      <c r="AH101" s="3"/>
      <c r="AI101" s="3"/>
      <c r="AM101" s="2" t="s">
        <v>162</v>
      </c>
      <c r="AS101" s="109" t="str">
        <f>setChartAxis("Analysis","Chart 8","Min","X","Primary",0)</f>
        <v>X Primary Min: 0</v>
      </c>
      <c r="AU101" s="109" t="str" cm="1">
        <f t="array" ref="AU101">setChartAxis("Analysis","Chart 8","Min","Y","Primary",INT($BI$104-(1.5*$BI$103)))</f>
        <v>Y Primary Min: -377</v>
      </c>
      <c r="AX101" s="109" t="str" cm="1">
        <f t="array" ref="AX101">setChartAxis("Analysis","Chart 8","Min","Y","Secondary",BA101)</f>
        <v>Y Secondary Min: -2.4</v>
      </c>
      <c r="BA101">
        <f>IF($D$48&lt;&gt;0,(-$D$48*1.2),-1)</f>
        <v>-2.4</v>
      </c>
      <c r="BK101" s="2" t="s">
        <v>299</v>
      </c>
      <c r="BO101" s="133"/>
      <c r="BP101" s="109" t="str">
        <f>setChartAxis("Analysis","Chart 1","Max","X","Primary",INT($BD$206))</f>
        <v>X Primary Max: 1500</v>
      </c>
      <c r="BR101" s="109" t="str" cm="1">
        <f t="array" ref="BR101">setChartAxis("Analysis","Chart 1","Max","Y","Primary",INT($CA$104+(1.5*$CA$103)))</f>
        <v>Y Primary Max: 982</v>
      </c>
      <c r="BU101" s="109" t="str" cm="1">
        <f t="array" ref="BU101">setChartAxis("Analysis","Chart 1","Max","Y","Secondary",BW101)</f>
        <v>Y Secondary Max: 1</v>
      </c>
      <c r="BW101">
        <f>IF($AG$51&lt;&gt;0,((INT(($D$53-$D$54)/100)+2)*100),1)</f>
        <v>1</v>
      </c>
      <c r="CE101" s="109" t="str">
        <f>setChartAxis("Analysis","Chart 4","Max","X","Primary",INT($BW$206))</f>
        <v>X Primary Max: 1500</v>
      </c>
      <c r="CG101" s="109" t="str" cm="1">
        <f t="array" ref="CG101">setChartAxis("Analysis","Chart 4","Max","Y","Primary",INT($CC$104+(1.5*$CC$103)))</f>
        <v>Y Primary Max: 1181</v>
      </c>
      <c r="CJ101" s="109" t="str" cm="1">
        <f t="array" ref="CJ101">setChartAxis("Analysis","Chart 4","Max","Y","Secondary",MAX(BA100,BW101))</f>
        <v>Y Secondary Max: 2.4</v>
      </c>
    </row>
    <row r="102" spans="2:88" x14ac:dyDescent="0.35">
      <c r="B102" s="18" t="s">
        <v>95</v>
      </c>
      <c r="D102" s="12" t="s">
        <v>78</v>
      </c>
      <c r="E102" s="12" t="s">
        <v>78</v>
      </c>
      <c r="H102" t="s">
        <v>78</v>
      </c>
      <c r="I102" t="s">
        <v>78</v>
      </c>
      <c r="J102" t="s">
        <v>78</v>
      </c>
      <c r="K102" t="s">
        <v>78</v>
      </c>
      <c r="L102" s="55">
        <f>MAX($L$106:$L$196)</f>
        <v>583.85160887019458</v>
      </c>
      <c r="M102" t="s">
        <v>296</v>
      </c>
      <c r="AA102" s="109" t="str" cm="1">
        <f t="array" ref="AA102">setChartAxis("Analysis","Chart 5","MajorUnit","Y","Primary",IF($D$4="Metric",50,5))</f>
        <v>Y Primary MajorUnit: 50</v>
      </c>
      <c r="AD102" s="50" cm="1">
        <f t="array" ref="AD102">MAX(300,INDEX('Lagging Envelope Data'!$V$4:$V$289,MATCH(1,(Analysis!$D$32='Lagging Envelope Data'!$B$4:$B$289)*(Analysis!$D$33='Lagging Envelope Data'!$C$4:$C$289)*(Analysis!$D$34='Lagging Envelope Data'!$E$4:$E$289)*("Shear Modulus"='Lagging Envelope Data'!$G$4:$G$289),0)))/$G$70</f>
        <v>349.42349524084949</v>
      </c>
      <c r="AE102" s="146">
        <f>MAX(_xlfn.MINIFS($Z$104:$AJ$104,$Z$110:$AJ$110,"&gt;0"),_xlfn.MINIFS($Z$104:$AJ$104,$Z$111:$AJ$111,"&gt;0"))*$G$70</f>
        <v>100</v>
      </c>
      <c r="AF102" s="146">
        <f>MAX(_xlfn.MAXIFS($Z$104:$AJ$104,$Z$110:$AJ$110,"&gt;0"),_xlfn.MAXIFS($Z$104:$AJ$104,$Z$111:$AJ$111,"&gt;0"))*$G$70</f>
        <v>1500</v>
      </c>
      <c r="AS102" s="109" t="str" cm="1">
        <f t="array" ref="AS102">setChartAxis("Analysis","Chart 8","MajorUnit","X","Primary",IF($D$4="Metric",200,10))</f>
        <v>X Primary MajorUnit: 200</v>
      </c>
      <c r="AU102" s="109" t="str" cm="1">
        <f t="array" ref="AU102">setChartAxis("Analysis","Chart 8","MajorUnit","Y","Primary",INT($BI$104+(1.5*$BI$103))/5)</f>
        <v>Y Primary MajorUnit: 75.2</v>
      </c>
      <c r="AX102" s="109" t="str" cm="1">
        <f t="array" ref="AX102">setChartAxis("Analysis","Chart 8","MajorUnit","Y","Secondary",BA102)</f>
        <v>Y Secondary MajorUnit: 0.8</v>
      </c>
      <c r="BA102">
        <f>IF($D$48&lt;&gt;0,ROUND(($D$48*40),0)/100,1)</f>
        <v>0.8</v>
      </c>
      <c r="BK102" s="4" t="s">
        <v>304</v>
      </c>
      <c r="BL102" s="118">
        <f>(($AG$18*1000)-AG55)/2</f>
        <v>750</v>
      </c>
      <c r="BM102" t="s">
        <v>30</v>
      </c>
      <c r="BP102" s="109" t="str">
        <f>setChartAxis("Analysis","Chart 1","Min","X","Primary",0)</f>
        <v>X Primary Min: 0</v>
      </c>
      <c r="BR102" s="109" t="str" cm="1">
        <f t="array" ref="BR102">setChartAxis("Analysis","Chart 1","Min","Y","Primary",INT($CA$104-(1.5*$CA$103)))</f>
        <v>Y Primary Min: 976</v>
      </c>
      <c r="BU102" s="109" t="str" cm="1">
        <f t="array" ref="BU102">setChartAxis("Analysis","Chart 1","Min","Y","Secondary",BW102)</f>
        <v>Y Secondary Min: -1</v>
      </c>
      <c r="BW102">
        <f>IF($AG$51&lt;&gt;0,-((INT(($D$53-$D$54)/100)+2)*100),-1)</f>
        <v>-1</v>
      </c>
      <c r="CE102" s="109" t="str">
        <f>setChartAxis("Analysis","Chart 4","Min","X","Primary",0)</f>
        <v>X Primary Min: 0</v>
      </c>
      <c r="CG102" s="109" t="str" cm="1">
        <f t="array" ref="CG102">setChartAxis("Analysis","Chart 4","Min","Y","Primary",INT($CC$104-(1.5*$CC$103)))</f>
        <v>Y Primary Min: 776</v>
      </c>
      <c r="CJ102" s="109" t="str" cm="1">
        <f t="array" ref="CJ102">setChartAxis("Analysis","Chart 4","Min","Y","Secondary",MIN(BA101,BW102))</f>
        <v>Y Secondary Min: -2.4</v>
      </c>
    </row>
    <row r="103" spans="2:88" x14ac:dyDescent="0.35">
      <c r="B103" s="4"/>
      <c r="D103" s="12" t="s">
        <v>419</v>
      </c>
      <c r="E103" s="6" t="s">
        <v>66</v>
      </c>
      <c r="H103" t="s">
        <v>111</v>
      </c>
      <c r="I103" t="s">
        <v>113</v>
      </c>
      <c r="J103" t="s">
        <v>112</v>
      </c>
      <c r="K103" t="s">
        <v>114</v>
      </c>
      <c r="AR103" s="4"/>
      <c r="AS103" s="6"/>
      <c r="BG103" t="s">
        <v>243</v>
      </c>
      <c r="BH103" s="3">
        <f>IF($AG$48&lt;&gt;0,(MAX(BH106:BH206)-BH104),2)</f>
        <v>134.76570401993706</v>
      </c>
      <c r="BI103" s="3">
        <f>IF($AG$48&lt;&gt;0,(MAX(BI106:BI206)-BI104),2)</f>
        <v>251.14722330044879</v>
      </c>
      <c r="BK103" t="s">
        <v>316</v>
      </c>
      <c r="BL103" s="124">
        <f>(($AG$18*1000)-(((($AG$18*1000)-$AG$55)*COS(RADIANS($AG$52)))+$AG$55))/2</f>
        <v>0</v>
      </c>
      <c r="BM103" t="s">
        <v>30</v>
      </c>
      <c r="BN103" s="4"/>
      <c r="BP103" s="109" t="str" cm="1">
        <f t="array" ref="BP103">setChartAxis("Analysis","Chart 1","MajorUnit","X","Primary",IF($D$4="Metric",200,10))</f>
        <v>X Primary MajorUnit: 200</v>
      </c>
      <c r="BR103" s="109" t="str" cm="1">
        <f t="array" ref="BR103">setChartAxis("Analysis","Chart 1","MajorUnit","Y","Primary",ROUND((40*$CA$103),0)/100)</f>
        <v>Y Primary MajorUnit: 0.8</v>
      </c>
      <c r="BU103" s="109" t="str" cm="1">
        <f t="array" ref="BU103">setChartAxis("Analysis","Chart 1","MajorUnit","Y","Secondary",BW103)</f>
        <v>Y Secondary MajorUnit: 1</v>
      </c>
      <c r="BW103">
        <f>IF($D$53&lt;&gt;0,ROUND((INT($D$53/100)*2000),0)/100,1)</f>
        <v>1</v>
      </c>
      <c r="BZ103" t="s">
        <v>243</v>
      </c>
      <c r="CA103" s="3">
        <f>IF($AG$51&lt;&gt;0,(MAX(CA106:CA206)-CA104),2)</f>
        <v>2</v>
      </c>
      <c r="CC103" s="3">
        <f>IF(OR($AG$51&lt;&gt;0,$AG$48&lt;&gt;0),(MAX(CC106:CC206)-CC104),2)</f>
        <v>134.76570401993706</v>
      </c>
      <c r="CD103" s="3"/>
      <c r="CE103" s="109" t="str" cm="1">
        <f t="array" ref="CE103">setChartAxis("Analysis","Chart 4","MajorUnit","X","Primary",IF($D$4="Metric",200,10))</f>
        <v>X Primary MajorUnit: 200</v>
      </c>
      <c r="CG103" s="109" t="str" cm="1">
        <f t="array" ref="CG103">setChartAxis("Analysis","Chart 4","MajorUnit","Y","Primary",ROUND((40*$CC$103),0)/100)</f>
        <v>Y Primary MajorUnit: 53.91</v>
      </c>
      <c r="CJ103" s="109" t="str" cm="1">
        <f t="array" ref="CJ103">setChartAxis("Analysis","Chart 4","MajorUnit","Y","Secondary",MAX(BA102,BW103))</f>
        <v>Y Secondary MajorUnit: 1</v>
      </c>
    </row>
    <row r="104" spans="2:88" x14ac:dyDescent="0.35">
      <c r="B104" s="4"/>
      <c r="D104" s="49">
        <v>51.298975311655738</v>
      </c>
      <c r="E104" s="23">
        <f>AVERAGE(E106:E196)-$D$71</f>
        <v>1.0977210251894576E-7</v>
      </c>
      <c r="H104" s="84">
        <v>0</v>
      </c>
      <c r="I104" s="32">
        <f>(2*$H$104)/($AG$18*$D$77)</f>
        <v>0</v>
      </c>
      <c r="J104" s="32">
        <f>IF(I104&gt;$D$97,$D$98,($D$94*I104^2)+($D$95*I104)+($D$96))</f>
        <v>3.9098999999999999</v>
      </c>
      <c r="K104" s="32">
        <f>J104-$E$196</f>
        <v>3.9098999999999999</v>
      </c>
      <c r="N104" s="19"/>
      <c r="O104" s="19"/>
      <c r="P104" s="19"/>
      <c r="Q104" s="19"/>
      <c r="R104" s="19"/>
      <c r="S104" s="19"/>
      <c r="T104" s="19"/>
      <c r="U104" s="19"/>
      <c r="Z104" s="50">
        <f>'Lagging Envelope Data'!K3/$G$70</f>
        <v>100</v>
      </c>
      <c r="AA104" s="50">
        <f>'Lagging Envelope Data'!L3/$G$70</f>
        <v>200</v>
      </c>
      <c r="AB104" s="50">
        <f>'Lagging Envelope Data'!M3/$G$70</f>
        <v>300</v>
      </c>
      <c r="AC104" s="50">
        <f>'Lagging Envelope Data'!N3/$G$70</f>
        <v>400</v>
      </c>
      <c r="AD104" s="50">
        <f>'Lagging Envelope Data'!O3/$G$70</f>
        <v>500</v>
      </c>
      <c r="AE104" s="50">
        <f>'Lagging Envelope Data'!P3/$G$70</f>
        <v>600</v>
      </c>
      <c r="AF104" s="50">
        <f>'Lagging Envelope Data'!Q3/$G$70</f>
        <v>700</v>
      </c>
      <c r="AG104" s="50">
        <f>'Lagging Envelope Data'!R3/$G$70</f>
        <v>900</v>
      </c>
      <c r="AH104" s="50">
        <f>'Lagging Envelope Data'!S3/$G$70</f>
        <v>1100</v>
      </c>
      <c r="AI104" s="50">
        <f>'Lagging Envelope Data'!T3/$G$70</f>
        <v>1300</v>
      </c>
      <c r="AJ104" s="50">
        <f>'Lagging Envelope Data'!U3/$G$70</f>
        <v>1500</v>
      </c>
      <c r="AU104" s="26">
        <f>AVERAGE(AU106:AU206)</f>
        <v>105.24857418366548</v>
      </c>
      <c r="AV104" t="s">
        <v>291</v>
      </c>
      <c r="BG104" t="s">
        <v>163</v>
      </c>
      <c r="BH104" s="1">
        <f>AVERAGE(BH106:BH206)</f>
        <v>978.99999999999852</v>
      </c>
      <c r="BI104" s="3">
        <f>AVERAGE(BI106:BI206)</f>
        <v>-7.3164796553515269E-15</v>
      </c>
      <c r="BQ104" s="26">
        <f>AVERAGE(BR106:BR206)</f>
        <v>0</v>
      </c>
      <c r="BR104" t="s">
        <v>291</v>
      </c>
      <c r="BZ104" t="s">
        <v>163</v>
      </c>
      <c r="CA104" s="1">
        <f>AVERAGE(CA106:CA206)</f>
        <v>979</v>
      </c>
      <c r="CC104" s="1">
        <f>AVERAGE(CC106:CC206)</f>
        <v>978.99999999999852</v>
      </c>
      <c r="CD104" s="1"/>
    </row>
    <row r="105" spans="2:88" ht="72.5" x14ac:dyDescent="0.35">
      <c r="B105" s="63" t="s">
        <v>447</v>
      </c>
      <c r="C105" s="19" t="s">
        <v>43</v>
      </c>
      <c r="D105" s="19" t="s">
        <v>47</v>
      </c>
      <c r="E105" s="19" t="s">
        <v>175</v>
      </c>
      <c r="F105" s="19" t="s">
        <v>179</v>
      </c>
      <c r="G105" s="19" t="s">
        <v>176</v>
      </c>
      <c r="H105" s="19" t="s">
        <v>177</v>
      </c>
      <c r="I105" s="19" t="s">
        <v>48</v>
      </c>
      <c r="J105" s="19" t="s">
        <v>49</v>
      </c>
      <c r="K105" s="19" t="s">
        <v>64</v>
      </c>
      <c r="L105" s="19" t="s">
        <v>65</v>
      </c>
      <c r="M105" s="19" t="s">
        <v>69</v>
      </c>
      <c r="N105" s="19" t="s">
        <v>68</v>
      </c>
      <c r="O105" s="19" t="s">
        <v>67</v>
      </c>
      <c r="P105" s="19" t="s">
        <v>79</v>
      </c>
      <c r="Q105" s="19" t="s">
        <v>180</v>
      </c>
      <c r="R105" s="19" t="s">
        <v>156</v>
      </c>
      <c r="S105" s="19" t="s">
        <v>157</v>
      </c>
      <c r="T105" s="63" t="s">
        <v>454</v>
      </c>
      <c r="U105" s="63" t="s">
        <v>393</v>
      </c>
      <c r="V105" s="63" t="s">
        <v>390</v>
      </c>
      <c r="W105" s="63" t="s">
        <v>394</v>
      </c>
      <c r="X105" s="63" t="s">
        <v>395</v>
      </c>
      <c r="Y105" s="19" t="s">
        <v>91</v>
      </c>
      <c r="Z105" s="19">
        <f>'Lagging Envelope Data'!K3</f>
        <v>100</v>
      </c>
      <c r="AA105" s="19">
        <f>'Lagging Envelope Data'!L3</f>
        <v>200</v>
      </c>
      <c r="AB105" s="19">
        <f>'Lagging Envelope Data'!M3</f>
        <v>300</v>
      </c>
      <c r="AC105" s="19">
        <f>'Lagging Envelope Data'!N3</f>
        <v>400</v>
      </c>
      <c r="AD105" s="19">
        <f>'Lagging Envelope Data'!O3</f>
        <v>500</v>
      </c>
      <c r="AE105" s="19">
        <f>'Lagging Envelope Data'!P3</f>
        <v>600</v>
      </c>
      <c r="AF105" s="19">
        <f>'Lagging Envelope Data'!Q3</f>
        <v>700</v>
      </c>
      <c r="AG105" s="19">
        <f>'Lagging Envelope Data'!R3</f>
        <v>900</v>
      </c>
      <c r="AH105" s="19">
        <f>'Lagging Envelope Data'!S3</f>
        <v>1100</v>
      </c>
      <c r="AI105" s="19">
        <f>'Lagging Envelope Data'!T3</f>
        <v>1300</v>
      </c>
      <c r="AJ105" s="19">
        <f>'Lagging Envelope Data'!U3</f>
        <v>1500</v>
      </c>
      <c r="AL105" s="2"/>
      <c r="AM105" s="43" t="s">
        <v>166</v>
      </c>
      <c r="AN105" s="43" t="s">
        <v>167</v>
      </c>
      <c r="AO105" s="43" t="s">
        <v>256</v>
      </c>
      <c r="AP105" s="43" t="s">
        <v>257</v>
      </c>
      <c r="AQ105" s="43" t="s">
        <v>168</v>
      </c>
      <c r="AR105" s="43" t="s">
        <v>169</v>
      </c>
      <c r="AS105" s="43" t="s">
        <v>341</v>
      </c>
      <c r="AT105" s="43" t="s">
        <v>310</v>
      </c>
      <c r="AU105" s="43" t="s">
        <v>170</v>
      </c>
      <c r="AV105" s="43" t="s">
        <v>328</v>
      </c>
      <c r="AW105" s="139" t="s">
        <v>400</v>
      </c>
      <c r="AZ105" s="63" t="s">
        <v>224</v>
      </c>
      <c r="BA105" s="63" t="s">
        <v>420</v>
      </c>
      <c r="BB105" s="63" t="s">
        <v>225</v>
      </c>
      <c r="BC105" s="19"/>
      <c r="BD105" s="63" t="s">
        <v>234</v>
      </c>
      <c r="BE105" s="63" t="s">
        <v>337</v>
      </c>
      <c r="BF105" s="63" t="s">
        <v>236</v>
      </c>
      <c r="BG105" s="63" t="s">
        <v>237</v>
      </c>
      <c r="BH105" s="63" t="s">
        <v>336</v>
      </c>
      <c r="BI105" s="63" t="s">
        <v>400</v>
      </c>
      <c r="BK105" s="43" t="s">
        <v>166</v>
      </c>
      <c r="BL105" s="43" t="s">
        <v>167</v>
      </c>
      <c r="BM105" s="43" t="s">
        <v>327</v>
      </c>
      <c r="BN105" s="43" t="s">
        <v>317</v>
      </c>
      <c r="BO105" s="43" t="s">
        <v>169</v>
      </c>
      <c r="BP105" s="43" t="s">
        <v>340</v>
      </c>
      <c r="BQ105" s="43" t="s">
        <v>310</v>
      </c>
      <c r="BR105" s="43" t="s">
        <v>170</v>
      </c>
      <c r="BS105" s="43" t="s">
        <v>328</v>
      </c>
      <c r="BT105" s="43"/>
      <c r="BU105" s="43"/>
      <c r="BW105" s="63" t="s">
        <v>234</v>
      </c>
      <c r="BX105" s="63" t="s">
        <v>235</v>
      </c>
      <c r="BY105" s="63" t="s">
        <v>301</v>
      </c>
      <c r="BZ105" s="63" t="s">
        <v>237</v>
      </c>
      <c r="CA105" s="63" t="s">
        <v>82</v>
      </c>
      <c r="CC105" s="63" t="s">
        <v>338</v>
      </c>
      <c r="CD105" s="63" t="s">
        <v>339</v>
      </c>
    </row>
    <row r="106" spans="2:88" s="9" customFormat="1" x14ac:dyDescent="0.35">
      <c r="B106" s="50" t="b">
        <f>IF(AND($L106&gt;$AE$102,$L106&lt;$AF$102),TRUE,FALSE)</f>
        <v>1</v>
      </c>
      <c r="C106" s="21">
        <f>0</f>
        <v>0</v>
      </c>
      <c r="D106" s="13">
        <f>$D$104-50</f>
        <v>1.2989753116557381</v>
      </c>
      <c r="E106" s="143">
        <f>IF($D$71&lt;0,MAX(D106/((1/$D$82)+(1/$D$81)),-(N106-G106)),MIN(D106/((1/$D$82)+(1/$D$81)),(N106-G106)))</f>
        <v>93.248322124835269</v>
      </c>
      <c r="F106" s="52">
        <f>($D$88/90)</f>
        <v>3.8872792706653045E-2</v>
      </c>
      <c r="G106" s="50">
        <f>MIN(F106/((1/$D$82)+(1/$D$81)),N106)</f>
        <v>2.79052470333832</v>
      </c>
      <c r="H106" s="50">
        <f t="shared" ref="H106:H137" si="5">E106+G106</f>
        <v>96.03884682817359</v>
      </c>
      <c r="I106" s="16">
        <f>E106*$D$79</f>
        <v>4.7922263951394575</v>
      </c>
      <c r="J106" s="22">
        <f>I106*$D$74*1000/$D$75</f>
        <v>2.1718037224876963E-2</v>
      </c>
      <c r="K106" s="15">
        <f>AG7+$D$89</f>
        <v>864.39230693232298</v>
      </c>
      <c r="L106" s="15">
        <f t="shared" ref="L106:L137" si="6">(2*K106)/($AG$18*$D$77)</f>
        <v>583.85160887019458</v>
      </c>
      <c r="M106" s="17">
        <f>ABS(H106/L106)</f>
        <v>0.16449187664998885</v>
      </c>
      <c r="N106" s="15">
        <f>IF(L106&gt;$D$97,$D$98,($D$94*L106^2)+($D$95*L106)+($D$96))*IF($D$39="Wet Dirty",$D$99,1)</f>
        <v>319</v>
      </c>
      <c r="O106" s="17">
        <f>N106/L106</f>
        <v>0.54637170670351276</v>
      </c>
      <c r="P106" s="15">
        <f>IF(M106&gt;=O106,1,0)</f>
        <v>0</v>
      </c>
      <c r="Q106" s="7">
        <f>IF(P106&lt;&gt;0,J106+(F106-0),0)</f>
        <v>0</v>
      </c>
      <c r="R106" s="17">
        <f t="shared" ref="R106:R137" si="7">IF($L106&gt;E$97,E$98,(E$94*$L106^2)+(E$95*$L106)+(E$96))/$L106</f>
        <v>0.54637170670351276</v>
      </c>
      <c r="S106" s="17">
        <f>R106*$D$99</f>
        <v>0.37893521593953305</v>
      </c>
      <c r="T106" s="162">
        <f>ABS(L106-L107)*IF($B106,ABS(AVERAGE(H106:H107)),0)</f>
        <v>317.84110915870338</v>
      </c>
      <c r="U106" s="162">
        <f>ABS($L106-$L107)*IF($B106,FORECAST($L106,
INDEX($Z$119:$AJ$119,MATCH($L106,$Z$105:$AJ$105,1)):INDEX($Z$119:$AJ$119,MATCH($L106,$Z$105:$AJ$105,1)+1),
INDEX($Z$105:$AJ$105,MATCH($L106,$Z$105:$AJ$105,1)):INDEX($Z$105:$AJ$105,MATCH($L106,$Z$105:$AJ$105,1)+1)),0)</f>
        <v>0</v>
      </c>
      <c r="V106" s="162">
        <f>ABS($L106-$L107)*IF($B106,FORECAST($L106,
INDEX($Z$120:$AJ$120,MATCH($L106,$Z$105:$AJ$105,1)):INDEX($Z$120:$AJ$120,MATCH($L106,$Z$105:$AJ$105,1)+1),
INDEX($Z$105:$AJ$105,MATCH($L106,$Z$105:$AJ$105,1)):INDEX($Z$105:$AJ$105,MATCH($L106,$Z$105:$AJ$105,1)+1)),0)</f>
        <v>992.41611909240328</v>
      </c>
      <c r="W106" s="162">
        <f>ABS($L106-$L107)*IF($B106,FORECAST($L106,
INDEX($Z$121:$AJ$121,MATCH($L106,$Z$105:$AJ$105,1)):INDEX($Z$121:$AJ$121,MATCH($L106,$Z$105:$AJ$105,1)+1),
INDEX($Z$105:$AJ$105,MATCH($L106,$Z$105:$AJ$105,1)):INDEX($Z$105:$AJ$105,MATCH($L106,$Z$105:$AJ$105,1)+1)),0)</f>
        <v>1142.4821203306155</v>
      </c>
      <c r="X106" s="162">
        <f>ABS($L106-$L107)*IF($B106,FORECAST($L106,
INDEX($Z$122:$AJ$122,MATCH($L106,$Z$105:$AJ$105,1)):INDEX($Z$122:$AJ$122,MATCH($L106,$Z$105:$AJ$105,1)+1),
INDEX($Z$105:$AJ$105,MATCH($L106,$Z$105:$AJ$105,1)):INDEX($Z$105:$AJ$105,MATCH($L106,$Z$105:$AJ$105,1)+1)),0)</f>
        <v>879.18039015202271</v>
      </c>
      <c r="Y106" s="20" t="str">
        <f>"Avail. Driving Shear Stress - " &amp; $E$93</f>
        <v>Avail. Driving Shear Stress - Dry Clean</v>
      </c>
      <c r="Z106" s="29">
        <f t="shared" ref="Z106:AJ106" si="8">IF(Z$105&gt;$E$97,$E$98,($E$94*Z$105^2)+($E$95*Z$105)+($E$96))/$G$70</f>
        <v>128.30989999999997</v>
      </c>
      <c r="AA106" s="29">
        <f t="shared" si="8"/>
        <v>222.70989999999995</v>
      </c>
      <c r="AB106" s="29">
        <f t="shared" si="8"/>
        <v>287.10989999999998</v>
      </c>
      <c r="AC106" s="29">
        <f t="shared" si="8"/>
        <v>321.5098999999999</v>
      </c>
      <c r="AD106" s="29">
        <f t="shared" si="8"/>
        <v>325.90989999999999</v>
      </c>
      <c r="AE106" s="29">
        <f t="shared" si="8"/>
        <v>319</v>
      </c>
      <c r="AF106" s="29">
        <f t="shared" si="8"/>
        <v>319</v>
      </c>
      <c r="AG106" s="29">
        <f t="shared" si="8"/>
        <v>319</v>
      </c>
      <c r="AH106" s="29">
        <f t="shared" si="8"/>
        <v>319</v>
      </c>
      <c r="AI106" s="29">
        <f t="shared" si="8"/>
        <v>319</v>
      </c>
      <c r="AJ106" s="29">
        <f t="shared" si="8"/>
        <v>319</v>
      </c>
      <c r="AK106"/>
      <c r="AL106"/>
      <c r="AM106" s="44">
        <f>0</f>
        <v>0</v>
      </c>
      <c r="AN106" s="45">
        <f>$AG$7</f>
        <v>979</v>
      </c>
      <c r="AO106" s="54">
        <f t="shared" ref="AO106:AO137" si="9">IF(($AG$42=0),0,
IF($AG$42&gt;0,IF(AND((AM106&gt;($F$84-($AG$43/2))),(AM106&lt;($F$84+($AG$43/2)))),(SQRT(($D$84^2)-((AM106-$F$84)^2))+$G$84),0),
IF(AND((AM106&gt;($F$84-($AG$43/2))),(AM106&lt;($F$84+($AG$43/2)))),($G$84-SQRT(($D$84^2)-((AM106-$F$84)^2))),0)))</f>
        <v>0</v>
      </c>
      <c r="AP106" s="54">
        <f t="shared" ref="AP106:AP137" si="10">IF(($AG$45=0),0,
IF($AG$45&gt;0,IF(AND((AM106&gt;($F$85-($AG$46/2))),(AM106&lt;($F$85+($AG$46/2)))),(SQRT(($D$85^2)-((AM106-$F$85)^2))+$G$85),0),
IF(AND((AM106&gt;($F$85-($AG$46/2))),(AM106&lt;($F$85+($AG$46/2)))),($G$85-SQRT(($D$85^2)-((AM106-$F$85)^2))),0)))</f>
        <v>0</v>
      </c>
      <c r="AQ106" s="54">
        <f>(AO106+AP106)</f>
        <v>0</v>
      </c>
      <c r="AR106" s="46">
        <f t="shared" ref="AR106:AR137" si="11">(2*AQ106)*RADIANS($AG$22/2)</f>
        <v>0</v>
      </c>
      <c r="AS106" s="47">
        <f>(AR106/(($D$74*1000)+$D$87))</f>
        <v>0</v>
      </c>
      <c r="AT106" s="47">
        <v>0</v>
      </c>
      <c r="AU106" s="48">
        <f>(AS106+AT106)*$AG$16*$AG$18</f>
        <v>0</v>
      </c>
      <c r="AV106" s="48">
        <f t="shared" ref="AV106:AV137" si="12">AN106+AU106-$AU$104</f>
        <v>873.75142581633452</v>
      </c>
      <c r="AW106" s="140">
        <f>(AR106-$AR$208)/((1/$D$82)+(1/$D$81))</f>
        <v>-197.39209979505577</v>
      </c>
      <c r="AX106" s="53"/>
      <c r="AZ106" s="50">
        <f>H106/$G$70</f>
        <v>96.03884682817359</v>
      </c>
      <c r="BA106" s="50">
        <f>ABS(AZ106)</f>
        <v>96.03884682817359</v>
      </c>
      <c r="BB106" s="50">
        <f t="shared" ref="BB106:BB137" si="13">L106/$G$70</f>
        <v>583.85160887019458</v>
      </c>
      <c r="BD106" s="50">
        <f t="shared" ref="BD106:BD137" si="14">AM106/$G$72</f>
        <v>0</v>
      </c>
      <c r="BE106" s="50">
        <f t="shared" ref="BE106:BE137" si="15">AN106/$G$71</f>
        <v>979</v>
      </c>
      <c r="BF106" s="53">
        <f t="shared" ref="BF106:BF137" si="16">AQ106/$G$72</f>
        <v>0</v>
      </c>
      <c r="BG106" s="53">
        <f>AS106/$G$72</f>
        <v>0</v>
      </c>
      <c r="BH106" s="53">
        <f>AV106/$G$71</f>
        <v>873.75142581633452</v>
      </c>
      <c r="BI106" s="127">
        <f>AW106/$G$70</f>
        <v>-197.39209979505577</v>
      </c>
      <c r="BK106" s="44">
        <f>0</f>
        <v>0</v>
      </c>
      <c r="BL106" s="45">
        <f>$AG$7</f>
        <v>979</v>
      </c>
      <c r="BM106" s="119" cm="1">
        <f t="array" ref="BM106">IF(($AG$51=0),0,
_xlfn.IFS(BK106&lt;=$BL$102,($AG$53*(1-(BK106/$BL$102))),AND(BK106&gt;$BL$102,BK106&lt;($AG$55+$BL$102)),0,BK106&gt;=($AG$55+$BL$102),($AG$53*((BK106-($AG$55+$BL$102))/$BL$102)))-$AG$54)</f>
        <v>0</v>
      </c>
      <c r="BN106" s="119" cm="1">
        <f t="array" ref="BN106">IF(($AG$51=0),0,
_xlfn.IFS(BK106&lt;=$BL$102,($BL$103*(1-(BK106/$BL$102))),AND(BK106&gt;$BL$102,BK106&lt;($AG$55+$BL$102)),0,BK106&gt;=($AG$55+$BL$102),($BL$103*((BK106-($AG$55+$BL$102))/$BL$102))))</f>
        <v>0</v>
      </c>
      <c r="BO106" s="120">
        <f t="shared" ref="BO106:BO137" si="17">SQRT((BM106^2+BN106^2)+$AG$51^2)-$AG$51</f>
        <v>0</v>
      </c>
      <c r="BP106" s="121">
        <f t="shared" ref="BP106:BP137" si="18">IF($AG$51=0,0,(BO106/$AG$51))</f>
        <v>0</v>
      </c>
      <c r="BQ106" s="121">
        <v>0</v>
      </c>
      <c r="BR106" s="48">
        <f t="shared" ref="BR106:BR137" si="19">(BP106+BQ106)*$AG$16*$AG$18</f>
        <v>0</v>
      </c>
      <c r="BS106" s="48">
        <f t="shared" ref="BS106:BS137" si="20">BL106+BR106-$BQ$104</f>
        <v>979</v>
      </c>
      <c r="BT106" s="50"/>
      <c r="BU106" s="122"/>
      <c r="BW106" s="50">
        <f>BK106/$G$72</f>
        <v>0</v>
      </c>
      <c r="BX106" s="50">
        <f>BL106/$G$71</f>
        <v>979</v>
      </c>
      <c r="BY106" s="53">
        <f>BM106/$G$72</f>
        <v>0</v>
      </c>
      <c r="BZ106" s="53">
        <f>BP106/$G$72</f>
        <v>0</v>
      </c>
      <c r="CA106" s="53">
        <f>BS106/$G$71</f>
        <v>979</v>
      </c>
      <c r="CC106" s="126">
        <f>(BH106-BE106)+(CA106-BE106)+BE106</f>
        <v>873.75142581633452</v>
      </c>
      <c r="CD106" s="127">
        <f t="shared" ref="CD106:CD137" si="21">($AG$15*$AG$18)/(CC106)</f>
        <v>10.815432994768493</v>
      </c>
    </row>
    <row r="107" spans="2:88" x14ac:dyDescent="0.35">
      <c r="B107" s="50" t="b">
        <f t="shared" ref="B107:B170" si="22">IF(AND($L107&gt;$AE$102,$L107&lt;$AF$102),TRUE,FALSE)</f>
        <v>1</v>
      </c>
      <c r="C107" s="21">
        <f t="shared" ref="C107:C138" si="23">($AG$22/90)+C106</f>
        <v>1.9888888888888889</v>
      </c>
      <c r="D107" s="13">
        <f t="shared" ref="D107:D138" si="24">D106+J106</f>
        <v>1.320693348880615</v>
      </c>
      <c r="E107" s="143">
        <f t="shared" ref="E107:E170" si="25">IF($D$71&lt;0,MAX(D107/((1/$D$82)+(1/$D$81)),-(N107-G107)),MIN(D107/((1/$D$82)+(1/$D$81)),(N107-G107)))</f>
        <v>94.807374489335629</v>
      </c>
      <c r="F107" s="52">
        <f t="shared" ref="F107:F138" si="26">($D$88/90)+F106</f>
        <v>7.774558541330609E-2</v>
      </c>
      <c r="G107" s="50">
        <f t="shared" ref="G107:G170" si="27">MIN(F107/((1/$D$82)+(1/$D$81)),N107)</f>
        <v>5.5810494066766401</v>
      </c>
      <c r="H107" s="50">
        <f t="shared" si="5"/>
        <v>100.38842389601227</v>
      </c>
      <c r="I107" s="16">
        <f t="shared" ref="I107:I170" si="28">E107*$D$79</f>
        <v>4.8723493584519879</v>
      </c>
      <c r="J107" s="22">
        <f t="shared" ref="J107:J170" si="29">I107*$D$74*1000/$D$75</f>
        <v>2.2081148930441188E-2</v>
      </c>
      <c r="K107" s="15">
        <f>(K106-I106)+0.001</f>
        <v>859.60108053718352</v>
      </c>
      <c r="L107" s="15">
        <f t="shared" si="6"/>
        <v>580.6153870565239</v>
      </c>
      <c r="M107" s="17">
        <f t="shared" ref="M107:M170" si="30">ABS(H107/L107)</f>
        <v>0.17290004042941301</v>
      </c>
      <c r="N107" s="15">
        <f t="shared" ref="N107:N170" si="31">IF(L107&gt;$D$97,$D$98,($D$94*L107^2)+($D$95*L107)+($D$96))*IF($D$39="Wet Dirty",$D$99,1)</f>
        <v>319</v>
      </c>
      <c r="O107" s="17">
        <f t="shared" ref="O107:O170" si="32">N107/L107</f>
        <v>0.54941706181297745</v>
      </c>
      <c r="P107" s="15">
        <f t="shared" ref="P107:P170" si="33">IF(M107&gt;=O107,1,0)</f>
        <v>0</v>
      </c>
      <c r="Q107" s="7">
        <f t="shared" ref="Q107:Q170" si="34">IF(P107&lt;&gt;0,J107+(F107-F106),0)</f>
        <v>0</v>
      </c>
      <c r="R107" s="17">
        <f t="shared" si="7"/>
        <v>0.54941706181297745</v>
      </c>
      <c r="S107" s="17">
        <f t="shared" ref="S107:S170" si="35">R107*$D$99</f>
        <v>0.38104731706383921</v>
      </c>
      <c r="T107" s="162">
        <f t="shared" ref="T107:T170" si="36">ABS(L107-L108)*IF($B107,ABS(AVERAGE(H107:H108)),0)</f>
        <v>337.51079246391708</v>
      </c>
      <c r="U107" s="162">
        <f>ABS($L107-$L108)*IF($B107,FORECAST($L107,
INDEX($Z$119:$AJ$119,MATCH($L107,$Z$105:$AJ$105,1)):INDEX($Z$119:$AJ$119,MATCH($L107,$Z$105:$AJ$105,1)+1),
INDEX($Z$105:$AJ$105,MATCH($L107,$Z$105:$AJ$105,1)):INDEX($Z$105:$AJ$105,MATCH($L107,$Z$105:$AJ$105,1)+1)),0)</f>
        <v>0</v>
      </c>
      <c r="V107" s="162">
        <f>ABS($L107-$L108)*IF($B107,FORECAST($L107,
INDEX($Z$120:$AJ$120,MATCH($L107,$Z$105:$AJ$105,1)):INDEX($Z$120:$AJ$120,MATCH($L107,$Z$105:$AJ$105,1)+1),
INDEX($Z$105:$AJ$105,MATCH($L107,$Z$105:$AJ$105,1)):INDEX($Z$105:$AJ$105,MATCH($L107,$Z$105:$AJ$105,1)+1)),0)</f>
        <v>1010.0402421315328</v>
      </c>
      <c r="W107" s="162">
        <f>ABS($L107-$L108)*IF($B107,FORECAST($L107,
INDEX($Z$121:$AJ$121,MATCH($L107,$Z$105:$AJ$105,1)):INDEX($Z$121:$AJ$121,MATCH($L107,$Z$105:$AJ$105,1)+1),
INDEX($Z$105:$AJ$105,MATCH($L107,$Z$105:$AJ$105,1)):INDEX($Z$105:$AJ$105,MATCH($L107,$Z$105:$AJ$105,1)+1)),0)</f>
        <v>1161.1901475143488</v>
      </c>
      <c r="X107" s="162">
        <f>ABS($L107-$L108)*IF($B107,FORECAST($L107,
INDEX($Z$122:$AJ$122,MATCH($L107,$Z$105:$AJ$105,1)):INDEX($Z$122:$AJ$122,MATCH($L107,$Z$105:$AJ$105,1)+1),
INDEX($Z$105:$AJ$105,MATCH($L107,$Z$105:$AJ$105,1)):INDEX($Z$105:$AJ$105,MATCH($L107,$Z$105:$AJ$105,1)+1)),0)</f>
        <v>895.26729580522874</v>
      </c>
      <c r="Y107" s="20" t="str">
        <f>"Avail. Driving Shear Stress - " &amp; $F$93</f>
        <v xml:space="preserve">Avail. Driving Shear Stress - </v>
      </c>
      <c r="Z107" s="29">
        <f>Z106*$D$99</f>
        <v>88.989124193548378</v>
      </c>
      <c r="AA107" s="29">
        <f t="shared" ref="AA107:AJ107" si="37">AA106*$D$99</f>
        <v>154.46009193548386</v>
      </c>
      <c r="AB107" s="29">
        <f t="shared" si="37"/>
        <v>199.12460806451614</v>
      </c>
      <c r="AC107" s="29">
        <f t="shared" si="37"/>
        <v>222.9826725806451</v>
      </c>
      <c r="AD107" s="29">
        <f t="shared" si="37"/>
        <v>226.03428548387097</v>
      </c>
      <c r="AE107" s="29">
        <f t="shared" si="37"/>
        <v>221.24193548387098</v>
      </c>
      <c r="AF107" s="29">
        <f t="shared" si="37"/>
        <v>221.24193548387098</v>
      </c>
      <c r="AG107" s="29">
        <f t="shared" si="37"/>
        <v>221.24193548387098</v>
      </c>
      <c r="AH107" s="29">
        <f t="shared" si="37"/>
        <v>221.24193548387098</v>
      </c>
      <c r="AI107" s="29">
        <f t="shared" si="37"/>
        <v>221.24193548387098</v>
      </c>
      <c r="AJ107" s="29">
        <f t="shared" si="37"/>
        <v>221.24193548387098</v>
      </c>
      <c r="AM107" s="44">
        <f t="shared" ref="AM107:AM138" si="38">AM106+(($AG$18*1000)/100)</f>
        <v>15</v>
      </c>
      <c r="AN107" s="45">
        <f>AN106</f>
        <v>979</v>
      </c>
      <c r="AO107" s="54">
        <f t="shared" si="9"/>
        <v>0</v>
      </c>
      <c r="AP107" s="54">
        <f t="shared" si="10"/>
        <v>0</v>
      </c>
      <c r="AQ107" s="54">
        <f t="shared" ref="AQ107:AQ123" si="39">(AO107+AP107)</f>
        <v>0</v>
      </c>
      <c r="AR107" s="46">
        <f t="shared" si="11"/>
        <v>0</v>
      </c>
      <c r="AS107" s="47">
        <f t="shared" ref="AS107:AS170" si="40">(AR107/(($D$74*1000)+$D$87))</f>
        <v>0</v>
      </c>
      <c r="AT107" s="47">
        <f>((AS107-AS106)*$D$90)-((AS108-AS107)*$D$90)-((AS109-AS107)*0.5*$D$90)</f>
        <v>0</v>
      </c>
      <c r="AU107" s="48">
        <f t="shared" ref="AU107:AU170" si="41">(AS107+AT107)*$AG$16*$AG$18</f>
        <v>0</v>
      </c>
      <c r="AV107" s="48">
        <f t="shared" si="12"/>
        <v>873.75142581633452</v>
      </c>
      <c r="AW107" s="140">
        <f t="shared" ref="AW107:AW170" si="42">(AR107-$AR$208)/((1/$D$82)+(1/$D$81))</f>
        <v>-197.39209979505577</v>
      </c>
      <c r="AX107" s="53"/>
      <c r="AZ107" s="50">
        <f t="shared" ref="AZ107:AZ170" si="43">H107/$G$70</f>
        <v>100.38842389601227</v>
      </c>
      <c r="BA107" s="50">
        <f t="shared" ref="BA107:BA170" si="44">ABS(AZ107)</f>
        <v>100.38842389601227</v>
      </c>
      <c r="BB107" s="50">
        <f t="shared" si="13"/>
        <v>580.6153870565239</v>
      </c>
      <c r="BD107" s="50">
        <f t="shared" si="14"/>
        <v>15</v>
      </c>
      <c r="BE107" s="50">
        <f t="shared" si="15"/>
        <v>979</v>
      </c>
      <c r="BF107" s="53">
        <f t="shared" si="16"/>
        <v>0</v>
      </c>
      <c r="BG107" s="53">
        <f t="shared" ref="BG107:BG170" si="45">AS107/$G$72</f>
        <v>0</v>
      </c>
      <c r="BH107" s="53">
        <f t="shared" ref="BH107:BH170" si="46">AV107/$G$71</f>
        <v>873.75142581633452</v>
      </c>
      <c r="BI107" s="127">
        <f t="shared" ref="BI107:BI170" si="47">AW107/$G$70</f>
        <v>-197.39209979505577</v>
      </c>
      <c r="BK107" s="44">
        <f t="shared" ref="BK107:BK138" si="48">BK106+(($AG$18*1000)/100)</f>
        <v>15</v>
      </c>
      <c r="BL107" s="45">
        <f>BL106</f>
        <v>979</v>
      </c>
      <c r="BM107" s="119" cm="1">
        <f t="array" ref="BM107">IF(($AG$51=0),0,
_xlfn.IFS(BK107&lt;=$BL$102,($AG$53*(1-(BK107/$BL$102))),AND(BK107&gt;$BL$102,BK107&lt;($AG$55+$BL$102)),0,BK107&gt;=($AG$55+$BL$102),($AG$53*((BK107-($AG$55+$BL$102))/$BL$102)))-$AG$54)</f>
        <v>0</v>
      </c>
      <c r="BN107" s="119" cm="1">
        <f t="array" ref="BN107">IF(($AG$51=0),0,
_xlfn.IFS(BK107&lt;=$BL$102,($BL$103*(1-(BK107/$BL$102))),AND(BK107&gt;$BL$102,BK107&lt;($AG$55+$BL$102)),0,BK107&gt;=($AG$55+$BL$102),($BL$103*((BK107-($AG$55+$BL$102))/$BL$102))))</f>
        <v>0</v>
      </c>
      <c r="BO107" s="120">
        <f t="shared" si="17"/>
        <v>0</v>
      </c>
      <c r="BP107" s="121">
        <f t="shared" si="18"/>
        <v>0</v>
      </c>
      <c r="BQ107" s="121">
        <f>((BP107-BP106)*$D$90)-((BP108-BP107)*$D$90)-((BP109-BP107)*0.5*$D$90)</f>
        <v>0</v>
      </c>
      <c r="BR107" s="48">
        <f t="shared" si="19"/>
        <v>0</v>
      </c>
      <c r="BS107" s="48">
        <f t="shared" si="20"/>
        <v>979</v>
      </c>
      <c r="BU107" s="122"/>
      <c r="BW107" s="50">
        <f t="shared" ref="BW107:BW117" si="49">BK107/$G$72</f>
        <v>15</v>
      </c>
      <c r="BX107" s="50">
        <f t="shared" ref="BX107:BX117" si="50">BL107/$G$71</f>
        <v>979</v>
      </c>
      <c r="BY107" s="53">
        <f t="shared" ref="BY107:BY117" si="51">BM107/$G$72</f>
        <v>0</v>
      </c>
      <c r="BZ107" s="53">
        <f t="shared" ref="BZ107:BZ117" si="52">BP107/$G$72</f>
        <v>0</v>
      </c>
      <c r="CA107" s="53">
        <f t="shared" ref="CA107:CA117" si="53">BS107/$G$71</f>
        <v>979</v>
      </c>
      <c r="CC107" s="126">
        <f t="shared" ref="CC107:CC170" si="54">(BH107-BE107)+(CA107-BE107)+BE107</f>
        <v>873.75142581633452</v>
      </c>
      <c r="CD107" s="127">
        <f t="shared" si="21"/>
        <v>10.815432994768493</v>
      </c>
    </row>
    <row r="108" spans="2:88" x14ac:dyDescent="0.35">
      <c r="B108" s="50" t="b">
        <f t="shared" si="22"/>
        <v>1</v>
      </c>
      <c r="C108" s="21">
        <f t="shared" si="23"/>
        <v>3.9777777777777779</v>
      </c>
      <c r="D108" s="13">
        <f t="shared" si="24"/>
        <v>1.3427744978110561</v>
      </c>
      <c r="E108" s="143">
        <f t="shared" si="25"/>
        <v>96.392493213207061</v>
      </c>
      <c r="F108" s="52">
        <f t="shared" si="26"/>
        <v>0.11661837811995913</v>
      </c>
      <c r="G108" s="50">
        <f t="shared" si="27"/>
        <v>8.3715741100149597</v>
      </c>
      <c r="H108" s="50">
        <f t="shared" si="5"/>
        <v>104.76406732322202</v>
      </c>
      <c r="I108" s="16">
        <f t="shared" si="28"/>
        <v>4.9538119265161837</v>
      </c>
      <c r="J108" s="22">
        <f t="shared" si="29"/>
        <v>2.2450331631710625E-2</v>
      </c>
      <c r="K108" s="15">
        <f>(K107-I107)+0.001</f>
        <v>854.72973117873153</v>
      </c>
      <c r="L108" s="15">
        <f t="shared" si="6"/>
        <v>577.32504638887644</v>
      </c>
      <c r="M108" s="17">
        <f t="shared" si="30"/>
        <v>0.18146461508731201</v>
      </c>
      <c r="N108" s="15">
        <f t="shared" si="31"/>
        <v>319</v>
      </c>
      <c r="O108" s="17">
        <f t="shared" si="32"/>
        <v>0.5525483468893656</v>
      </c>
      <c r="P108" s="15">
        <f t="shared" si="33"/>
        <v>0</v>
      </c>
      <c r="Q108" s="7">
        <f t="shared" si="34"/>
        <v>0</v>
      </c>
      <c r="R108" s="17">
        <f t="shared" si="7"/>
        <v>0.5525483468893656</v>
      </c>
      <c r="S108" s="17">
        <f t="shared" si="35"/>
        <v>0.38321901477810844</v>
      </c>
      <c r="T108" s="162">
        <f t="shared" si="36"/>
        <v>357.83736691822395</v>
      </c>
      <c r="U108" s="162">
        <f>ABS($L108-$L109)*IF($B108,FORECAST($L108,
INDEX($Z$119:$AJ$119,MATCH($L108,$Z$105:$AJ$105,1)):INDEX($Z$119:$AJ$119,MATCH($L108,$Z$105:$AJ$105,1)+1),
INDEX($Z$105:$AJ$105,MATCH($L108,$Z$105:$AJ$105,1)):INDEX($Z$105:$AJ$105,MATCH($L108,$Z$105:$AJ$105,1)+1)),0)</f>
        <v>0</v>
      </c>
      <c r="V108" s="162">
        <f>ABS($L108-$L109)*IF($B108,FORECAST($L108,
INDEX($Z$120:$AJ$120,MATCH($L108,$Z$105:$AJ$105,1)):INDEX($Z$120:$AJ$120,MATCH($L108,$Z$105:$AJ$105,1)+1),
INDEX($Z$105:$AJ$105,MATCH($L108,$Z$105:$AJ$105,1)):INDEX($Z$105:$AJ$105,MATCH($L108,$Z$105:$AJ$105,1)+1)),0)</f>
        <v>1027.993705635655</v>
      </c>
      <c r="W108" s="162">
        <f>ABS($L108-$L109)*IF($B108,FORECAST($L108,
INDEX($Z$121:$AJ$121,MATCH($L108,$Z$105:$AJ$105,1)):INDEX($Z$121:$AJ$121,MATCH($L108,$Z$105:$AJ$105,1)+1),
INDEX($Z$105:$AJ$105,MATCH($L108,$Z$105:$AJ$105,1)):INDEX($Z$105:$AJ$105,MATCH($L108,$Z$105:$AJ$105,1)+1)),0)</f>
        <v>1180.1975527553423</v>
      </c>
      <c r="X108" s="162">
        <f>ABS($L108-$L109)*IF($B108,FORECAST($L108,
INDEX($Z$122:$AJ$122,MATCH($L108,$Z$105:$AJ$105,1)):INDEX($Z$122:$AJ$122,MATCH($L108,$Z$105:$AJ$105,1)+1),
INDEX($Z$105:$AJ$105,MATCH($L108,$Z$105:$AJ$105,1)):INDEX($Z$105:$AJ$105,MATCH($L108,$Z$105:$AJ$105,1)+1)),0)</f>
        <v>911.66986177906335</v>
      </c>
      <c r="Y108" t="s">
        <v>115</v>
      </c>
      <c r="Z108" s="15" t="e" cm="1">
        <f t="array" ref="Z108">(IF(INDEX('Lagging Envelope Data'!K$4:K$289,MATCH(1,INDEX((Analysis!$D$32='Lagging Envelope Data'!$B$4:$B$289)*(Analysis!$D$33='Lagging Envelope Data'!$C$4:$C$289)*(Analysis!$D$34='Lagging Envelope Data'!$E$4:$E$289)*($Y108='Lagging Envelope Data'!$G$4:$G$289),0,1),0))=0,NA(),INDEX('Lagging Envelope Data'!K$4:K$289,MATCH(1,INDEX((Analysis!$D$32='Lagging Envelope Data'!$B$4:$B$289)*(Analysis!$D$33='Lagging Envelope Data'!$C$4:$C$289)*(Analysis!$D$34='Lagging Envelope Data'!$E$4:$E$289)*($Y108='Lagging Envelope Data'!$G$4:$G$289),0,1),0)))*$G$73/$G$70)</f>
        <v>#N/A</v>
      </c>
      <c r="AA108" s="15" t="e" cm="1">
        <f t="array" ref="AA108">(IF(INDEX('Lagging Envelope Data'!L$4:L$289,MATCH(1,INDEX((Analysis!$D$32='Lagging Envelope Data'!$B$4:$B$289)*(Analysis!$D$33='Lagging Envelope Data'!$C$4:$C$289)*(Analysis!$D$34='Lagging Envelope Data'!$E$4:$E$289)*($Y108='Lagging Envelope Data'!$G$4:$G$289),0,1),0))=0,NA(),INDEX('Lagging Envelope Data'!L$4:L$289,MATCH(1,INDEX((Analysis!$D$32='Lagging Envelope Data'!$B$4:$B$289)*(Analysis!$D$33='Lagging Envelope Data'!$C$4:$C$289)*(Analysis!$D$34='Lagging Envelope Data'!$E$4:$E$289)*($Y108='Lagging Envelope Data'!$G$4:$G$289),0,1),0)))*$G$73/$G$70)</f>
        <v>#N/A</v>
      </c>
      <c r="AB108" s="15" t="e" cm="1">
        <f t="array" ref="AB108">(IF(INDEX('Lagging Envelope Data'!M$4:M$289,MATCH(1,INDEX((Analysis!$D$32='Lagging Envelope Data'!$B$4:$B$289)*(Analysis!$D$33='Lagging Envelope Data'!$C$4:$C$289)*(Analysis!$D$34='Lagging Envelope Data'!$E$4:$E$289)*($Y108='Lagging Envelope Data'!$G$4:$G$289),0,1),0))=0,NA(),INDEX('Lagging Envelope Data'!M$4:M$289,MATCH(1,INDEX((Analysis!$D$32='Lagging Envelope Data'!$B$4:$B$289)*(Analysis!$D$33='Lagging Envelope Data'!$C$4:$C$289)*(Analysis!$D$34='Lagging Envelope Data'!$E$4:$E$289)*($Y108='Lagging Envelope Data'!$G$4:$G$289),0,1),0)))*$G$73/$G$70)</f>
        <v>#N/A</v>
      </c>
      <c r="AC108" s="15" t="e" cm="1">
        <f t="array" ref="AC108">(IF(INDEX('Lagging Envelope Data'!N$4:N$289,MATCH(1,INDEX((Analysis!$D$32='Lagging Envelope Data'!$B$4:$B$289)*(Analysis!$D$33='Lagging Envelope Data'!$C$4:$C$289)*(Analysis!$D$34='Lagging Envelope Data'!$E$4:$E$289)*($Y108='Lagging Envelope Data'!$G$4:$G$289),0,1),0))=0,NA(),INDEX('Lagging Envelope Data'!N$4:N$289,MATCH(1,INDEX((Analysis!$D$32='Lagging Envelope Data'!$B$4:$B$289)*(Analysis!$D$33='Lagging Envelope Data'!$C$4:$C$289)*(Analysis!$D$34='Lagging Envelope Data'!$E$4:$E$289)*($Y108='Lagging Envelope Data'!$G$4:$G$289),0,1),0)))*$G$73/$G$70)</f>
        <v>#N/A</v>
      </c>
      <c r="AD108" s="15" t="e" cm="1">
        <f t="array" ref="AD108">(IF(INDEX('Lagging Envelope Data'!O$4:O$289,MATCH(1,INDEX((Analysis!$D$32='Lagging Envelope Data'!$B$4:$B$289)*(Analysis!$D$33='Lagging Envelope Data'!$C$4:$C$289)*(Analysis!$D$34='Lagging Envelope Data'!$E$4:$E$289)*($Y108='Lagging Envelope Data'!$G$4:$G$289),0,1),0))=0,NA(),INDEX('Lagging Envelope Data'!O$4:O$289,MATCH(1,INDEX((Analysis!$D$32='Lagging Envelope Data'!$B$4:$B$289)*(Analysis!$D$33='Lagging Envelope Data'!$C$4:$C$289)*(Analysis!$D$34='Lagging Envelope Data'!$E$4:$E$289)*($Y108='Lagging Envelope Data'!$G$4:$G$289),0,1),0)))*$G$73/$G$70)</f>
        <v>#N/A</v>
      </c>
      <c r="AE108" s="15" t="e" cm="1">
        <f t="array" ref="AE108">(IF(INDEX('Lagging Envelope Data'!P$4:P$289,MATCH(1,INDEX((Analysis!$D$32='Lagging Envelope Data'!$B$4:$B$289)*(Analysis!$D$33='Lagging Envelope Data'!$C$4:$C$289)*(Analysis!$D$34='Lagging Envelope Data'!$E$4:$E$289)*($Y108='Lagging Envelope Data'!$G$4:$G$289),0,1),0))=0,NA(),INDEX('Lagging Envelope Data'!P$4:P$289,MATCH(1,INDEX((Analysis!$D$32='Lagging Envelope Data'!$B$4:$B$289)*(Analysis!$D$33='Lagging Envelope Data'!$C$4:$C$289)*(Analysis!$D$34='Lagging Envelope Data'!$E$4:$E$289)*($Y108='Lagging Envelope Data'!$G$4:$G$289),0,1),0)))*$G$73/$G$70)</f>
        <v>#N/A</v>
      </c>
      <c r="AF108" s="15" t="e" cm="1">
        <f t="array" ref="AF108">(IF(INDEX('Lagging Envelope Data'!Q$4:Q$289,MATCH(1,INDEX((Analysis!$D$32='Lagging Envelope Data'!$B$4:$B$289)*(Analysis!$D$33='Lagging Envelope Data'!$C$4:$C$289)*(Analysis!$D$34='Lagging Envelope Data'!$E$4:$E$289)*($Y108='Lagging Envelope Data'!$G$4:$G$289),0,1),0))=0,NA(),INDEX('Lagging Envelope Data'!Q$4:Q$289,MATCH(1,INDEX((Analysis!$D$32='Lagging Envelope Data'!$B$4:$B$289)*(Analysis!$D$33='Lagging Envelope Data'!$C$4:$C$289)*(Analysis!$D$34='Lagging Envelope Data'!$E$4:$E$289)*($Y108='Lagging Envelope Data'!$G$4:$G$289),0,1),0)))*$G$73/$G$70)</f>
        <v>#N/A</v>
      </c>
      <c r="AG108" s="15" t="e" cm="1">
        <f t="array" ref="AG108">(IF(INDEX('Lagging Envelope Data'!R$4:R$289,MATCH(1,INDEX((Analysis!$D$32='Lagging Envelope Data'!$B$4:$B$289)*(Analysis!$D$33='Lagging Envelope Data'!$C$4:$C$289)*(Analysis!$D$34='Lagging Envelope Data'!$E$4:$E$289)*($Y108='Lagging Envelope Data'!$G$4:$G$289),0,1),0))=0,NA(),INDEX('Lagging Envelope Data'!R$4:R$289,MATCH(1,INDEX((Analysis!$D$32='Lagging Envelope Data'!$B$4:$B$289)*(Analysis!$D$33='Lagging Envelope Data'!$C$4:$C$289)*(Analysis!$D$34='Lagging Envelope Data'!$E$4:$E$289)*($Y108='Lagging Envelope Data'!$G$4:$G$289),0,1),0)))*$G$73/$G$70)</f>
        <v>#N/A</v>
      </c>
      <c r="AH108" s="15" t="e" cm="1">
        <f t="array" ref="AH108">(IF(INDEX('Lagging Envelope Data'!S$4:S$289,MATCH(1,INDEX((Analysis!$D$32='Lagging Envelope Data'!$B$4:$B$289)*(Analysis!$D$33='Lagging Envelope Data'!$C$4:$C$289)*(Analysis!$D$34='Lagging Envelope Data'!$E$4:$E$289)*($Y108='Lagging Envelope Data'!$G$4:$G$289),0,1),0))=0,NA(),INDEX('Lagging Envelope Data'!S$4:S$289,MATCH(1,INDEX((Analysis!$D$32='Lagging Envelope Data'!$B$4:$B$289)*(Analysis!$D$33='Lagging Envelope Data'!$C$4:$C$289)*(Analysis!$D$34='Lagging Envelope Data'!$E$4:$E$289)*($Y108='Lagging Envelope Data'!$G$4:$G$289),0,1),0)))*$G$73/$G$70)</f>
        <v>#N/A</v>
      </c>
      <c r="AI108" s="15" t="e" cm="1">
        <f t="array" ref="AI108">(IF(INDEX('Lagging Envelope Data'!T$4:T$289,MATCH(1,INDEX((Analysis!$D$32='Lagging Envelope Data'!$B$4:$B$289)*(Analysis!$D$33='Lagging Envelope Data'!$C$4:$C$289)*(Analysis!$D$34='Lagging Envelope Data'!$E$4:$E$289)*($Y108='Lagging Envelope Data'!$G$4:$G$289),0,1),0))=0,NA(),INDEX('Lagging Envelope Data'!T$4:T$289,MATCH(1,INDEX((Analysis!$D$32='Lagging Envelope Data'!$B$4:$B$289)*(Analysis!$D$33='Lagging Envelope Data'!$C$4:$C$289)*(Analysis!$D$34='Lagging Envelope Data'!$E$4:$E$289)*($Y108='Lagging Envelope Data'!$G$4:$G$289),0,1),0)))*$G$73/$G$70)</f>
        <v>#N/A</v>
      </c>
      <c r="AJ108" s="15" t="e" cm="1">
        <f t="array" ref="AJ108">(IF(INDEX('Lagging Envelope Data'!U$4:U$289,MATCH(1,INDEX((Analysis!$D$32='Lagging Envelope Data'!$B$4:$B$289)*(Analysis!$D$33='Lagging Envelope Data'!$C$4:$C$289)*(Analysis!$D$34='Lagging Envelope Data'!$E$4:$E$289)*($Y108='Lagging Envelope Data'!$G$4:$G$289),0,1),0))=0,NA(),INDEX('Lagging Envelope Data'!U$4:U$289,MATCH(1,INDEX((Analysis!$D$32='Lagging Envelope Data'!$B$4:$B$289)*(Analysis!$D$33='Lagging Envelope Data'!$C$4:$C$289)*(Analysis!$D$34='Lagging Envelope Data'!$E$4:$E$289)*($Y108='Lagging Envelope Data'!$G$4:$G$289),0,1),0)))*$G$73/$G$70)</f>
        <v>#N/A</v>
      </c>
      <c r="AK108" s="1"/>
      <c r="AL108" s="1">
        <f>SUMIF(Z108:AJ108,"&lt;&gt;#N/A",Z108:AJ108)</f>
        <v>0</v>
      </c>
      <c r="AM108" s="44">
        <f t="shared" si="38"/>
        <v>30</v>
      </c>
      <c r="AN108" s="45">
        <f t="shared" ref="AN108:AN171" si="55">AN107</f>
        <v>979</v>
      </c>
      <c r="AO108" s="54">
        <f t="shared" si="9"/>
        <v>0</v>
      </c>
      <c r="AP108" s="54">
        <f t="shared" si="10"/>
        <v>0</v>
      </c>
      <c r="AQ108" s="54">
        <f t="shared" si="39"/>
        <v>0</v>
      </c>
      <c r="AR108" s="46">
        <f t="shared" si="11"/>
        <v>0</v>
      </c>
      <c r="AS108" s="47">
        <f t="shared" si="40"/>
        <v>0</v>
      </c>
      <c r="AT108" s="47">
        <f t="shared" ref="AT108:AT139" si="56">((AS108-AS107)*$D$90)+((AS108-AS106)*0.5*$D$90)-((AS109-AS108)*$D$90)-((AS110-AS108)*0.5*$D$90)</f>
        <v>0</v>
      </c>
      <c r="AU108" s="48">
        <f t="shared" si="41"/>
        <v>0</v>
      </c>
      <c r="AV108" s="48">
        <f t="shared" si="12"/>
        <v>873.75142581633452</v>
      </c>
      <c r="AW108" s="140">
        <f t="shared" si="42"/>
        <v>-197.39209979505577</v>
      </c>
      <c r="AX108" s="53"/>
      <c r="AZ108" s="50">
        <f t="shared" si="43"/>
        <v>104.76406732322202</v>
      </c>
      <c r="BA108" s="50">
        <f t="shared" si="44"/>
        <v>104.76406732322202</v>
      </c>
      <c r="BB108" s="50">
        <f t="shared" si="13"/>
        <v>577.32504638887644</v>
      </c>
      <c r="BD108" s="50">
        <f t="shared" si="14"/>
        <v>30</v>
      </c>
      <c r="BE108" s="50">
        <f t="shared" si="15"/>
        <v>979</v>
      </c>
      <c r="BF108" s="53">
        <f t="shared" si="16"/>
        <v>0</v>
      </c>
      <c r="BG108" s="53">
        <f t="shared" si="45"/>
        <v>0</v>
      </c>
      <c r="BH108" s="53">
        <f t="shared" si="46"/>
        <v>873.75142581633452</v>
      </c>
      <c r="BI108" s="127">
        <f t="shared" si="47"/>
        <v>-197.39209979505577</v>
      </c>
      <c r="BK108" s="44">
        <f t="shared" si="48"/>
        <v>30</v>
      </c>
      <c r="BL108" s="45">
        <f t="shared" ref="BL108:BL171" si="57">BL107</f>
        <v>979</v>
      </c>
      <c r="BM108" s="119" cm="1">
        <f t="array" ref="BM108">IF(($AG$51=0),0,
_xlfn.IFS(BK108&lt;=$BL$102,($AG$53*(1-(BK108/$BL$102))),AND(BK108&gt;$BL$102,BK108&lt;($AG$55+$BL$102)),0,BK108&gt;=($AG$55+$BL$102),($AG$53*((BK108-($AG$55+$BL$102))/$BL$102)))-$AG$54)</f>
        <v>0</v>
      </c>
      <c r="BN108" s="119" cm="1">
        <f t="array" ref="BN108">IF(($AG$51=0),0,
_xlfn.IFS(BK108&lt;=$BL$102,($BL$103*(1-(BK108/$BL$102))),AND(BK108&gt;$BL$102,BK108&lt;($AG$55+$BL$102)),0,BK108&gt;=($AG$55+$BL$102),($BL$103*((BK108-($AG$55+$BL$102))/$BL$102))))</f>
        <v>0</v>
      </c>
      <c r="BO108" s="120">
        <f t="shared" si="17"/>
        <v>0</v>
      </c>
      <c r="BP108" s="121">
        <f t="shared" si="18"/>
        <v>0</v>
      </c>
      <c r="BQ108" s="121">
        <f t="shared" ref="BQ108:BQ171" si="58">((BP108-BP107)*$D$90)+((BP108-BP106)*0.5*$D$90)-((BP109-BP108)*$D$90)-((BP110-BP108)*0.5*$D$90)</f>
        <v>0</v>
      </c>
      <c r="BR108" s="48">
        <f t="shared" si="19"/>
        <v>0</v>
      </c>
      <c r="BS108" s="48">
        <f t="shared" si="20"/>
        <v>979</v>
      </c>
      <c r="BU108" s="122"/>
      <c r="BW108" s="50">
        <f t="shared" si="49"/>
        <v>30</v>
      </c>
      <c r="BX108" s="50">
        <f t="shared" si="50"/>
        <v>979</v>
      </c>
      <c r="BY108" s="53">
        <f t="shared" si="51"/>
        <v>0</v>
      </c>
      <c r="BZ108" s="53">
        <f t="shared" si="52"/>
        <v>0</v>
      </c>
      <c r="CA108" s="53">
        <f t="shared" si="53"/>
        <v>979</v>
      </c>
      <c r="CC108" s="126">
        <f t="shared" si="54"/>
        <v>873.75142581633452</v>
      </c>
      <c r="CD108" s="127">
        <f t="shared" si="21"/>
        <v>10.815432994768493</v>
      </c>
    </row>
    <row r="109" spans="2:88" x14ac:dyDescent="0.35">
      <c r="B109" s="50" t="b">
        <f t="shared" si="22"/>
        <v>1</v>
      </c>
      <c r="C109" s="21">
        <f t="shared" si="23"/>
        <v>5.9666666666666668</v>
      </c>
      <c r="D109" s="13">
        <f t="shared" si="24"/>
        <v>1.3652248294427667</v>
      </c>
      <c r="E109" s="143">
        <f t="shared" si="25"/>
        <v>98.004114109323027</v>
      </c>
      <c r="F109" s="52">
        <f t="shared" si="26"/>
        <v>0.15549117082661218</v>
      </c>
      <c r="G109" s="50">
        <f t="shared" si="27"/>
        <v>11.16209881335328</v>
      </c>
      <c r="H109" s="50">
        <f t="shared" si="5"/>
        <v>109.16621292267631</v>
      </c>
      <c r="I109" s="16">
        <f t="shared" si="28"/>
        <v>5.0366364966675459</v>
      </c>
      <c r="J109" s="22">
        <f t="shared" si="29"/>
        <v>2.2825686831854371E-2</v>
      </c>
      <c r="K109" s="15">
        <f t="shared" ref="K109:K172" si="59">(K108-I108)+0.001</f>
        <v>849.77691925221529</v>
      </c>
      <c r="L109" s="15">
        <f t="shared" si="6"/>
        <v>573.97968203459322</v>
      </c>
      <c r="M109" s="17">
        <f t="shared" si="30"/>
        <v>0.19019177218209785</v>
      </c>
      <c r="N109" s="15">
        <f t="shared" si="31"/>
        <v>319</v>
      </c>
      <c r="O109" s="17">
        <f t="shared" si="32"/>
        <v>0.55576880155275976</v>
      </c>
      <c r="P109" s="15">
        <f t="shared" si="33"/>
        <v>0</v>
      </c>
      <c r="Q109" s="7">
        <f t="shared" si="34"/>
        <v>0</v>
      </c>
      <c r="R109" s="17">
        <f t="shared" si="7"/>
        <v>0.55576880155275976</v>
      </c>
      <c r="S109" s="17">
        <f t="shared" si="35"/>
        <v>0.38545255591562372</v>
      </c>
      <c r="T109" s="162">
        <f t="shared" si="36"/>
        <v>378.84026465056178</v>
      </c>
      <c r="U109" s="162">
        <f>ABS($L109-$L110)*IF($B109,FORECAST($L109,
INDEX($Z$119:$AJ$119,MATCH($L109,$Z$105:$AJ$105,1)):INDEX($Z$119:$AJ$119,MATCH($L109,$Z$105:$AJ$105,1)+1),
INDEX($Z$105:$AJ$105,MATCH($L109,$Z$105:$AJ$105,1)):INDEX($Z$105:$AJ$105,MATCH($L109,$Z$105:$AJ$105,1)+1)),0)</f>
        <v>0</v>
      </c>
      <c r="V109" s="162">
        <f>ABS($L109-$L110)*IF($B109,FORECAST($L109,
INDEX($Z$120:$AJ$120,MATCH($L109,$Z$105:$AJ$105,1)):INDEX($Z$120:$AJ$120,MATCH($L109,$Z$105:$AJ$105,1)+1),
INDEX($Z$105:$AJ$105,MATCH($L109,$Z$105:$AJ$105,1)):INDEX($Z$105:$AJ$105,MATCH($L109,$Z$105:$AJ$105,1)+1)),0)</f>
        <v>1046.2831852553695</v>
      </c>
      <c r="W109" s="162">
        <f>ABS($L109-$L110)*IF($B109,FORECAST($L109,
INDEX($Z$121:$AJ$121,MATCH($L109,$Z$105:$AJ$105,1)):INDEX($Z$121:$AJ$121,MATCH($L109,$Z$105:$AJ$105,1)+1),
INDEX($Z$105:$AJ$105,MATCH($L109,$Z$105:$AJ$105,1)):INDEX($Z$105:$AJ$105,MATCH($L109,$Z$105:$AJ$105,1)+1)),0)</f>
        <v>1199.5088893385109</v>
      </c>
      <c r="X109" s="162">
        <f>ABS($L109-$L110)*IF($B109,FORECAST($L109,
INDEX($Z$122:$AJ$122,MATCH($L109,$Z$105:$AJ$105,1)):INDEX($Z$122:$AJ$122,MATCH($L109,$Z$105:$AJ$105,1)+1),
INDEX($Z$105:$AJ$105,MATCH($L109,$Z$105:$AJ$105,1)):INDEX($Z$105:$AJ$105,MATCH($L109,$Z$105:$AJ$105,1)+1)),0)</f>
        <v>928.39494035419852</v>
      </c>
      <c r="Y109" t="s">
        <v>116</v>
      </c>
      <c r="Z109" s="15" cm="1">
        <f t="array" ref="Z109">(IF(INDEX('Lagging Envelope Data'!K$4:K$289,MATCH(1,INDEX((Analysis!$D$32='Lagging Envelope Data'!$B$4:$B$289)*(Analysis!$D$33='Lagging Envelope Data'!$C$4:$C$289)*(Analysis!$D$34='Lagging Envelope Data'!$E$4:$E$289)*($Y109='Lagging Envelope Data'!$G$4:$G$289),0,1),0))=0,NA(),INDEX('Lagging Envelope Data'!K$4:K$289,MATCH(1,INDEX((Analysis!$D$32='Lagging Envelope Data'!$B$4:$B$289)*(Analysis!$D$33='Lagging Envelope Data'!$C$4:$C$289)*(Analysis!$D$34='Lagging Envelope Data'!$E$4:$E$289)*($Y109='Lagging Envelope Data'!$G$4:$G$289),0,1),0)))*$G$73/$G$70)</f>
        <v>357.31837541441553</v>
      </c>
      <c r="AA109" s="15" cm="1">
        <f t="array" ref="AA109">(IF(INDEX('Lagging Envelope Data'!L$4:L$289,MATCH(1,INDEX((Analysis!$D$32='Lagging Envelope Data'!$B$4:$B$289)*(Analysis!$D$33='Lagging Envelope Data'!$C$4:$C$289)*(Analysis!$D$34='Lagging Envelope Data'!$E$4:$E$289)*($Y109='Lagging Envelope Data'!$G$4:$G$289),0,1),0))=0,NA(),INDEX('Lagging Envelope Data'!L$4:L$289,MATCH(1,INDEX((Analysis!$D$32='Lagging Envelope Data'!$B$4:$B$289)*(Analysis!$D$33='Lagging Envelope Data'!$C$4:$C$289)*(Analysis!$D$34='Lagging Envelope Data'!$E$4:$E$289)*($Y109='Lagging Envelope Data'!$G$4:$G$289),0,1),0)))*$G$73/$G$70)</f>
        <v>351.31526140261616</v>
      </c>
      <c r="AB109" s="15" cm="1">
        <f t="array" ref="AB109">(IF(INDEX('Lagging Envelope Data'!M$4:M$289,MATCH(1,INDEX((Analysis!$D$32='Lagging Envelope Data'!$B$4:$B$289)*(Analysis!$D$33='Lagging Envelope Data'!$C$4:$C$289)*(Analysis!$D$34='Lagging Envelope Data'!$E$4:$E$289)*($Y109='Lagging Envelope Data'!$G$4:$G$289),0,1),0))=0,NA(),INDEX('Lagging Envelope Data'!M$4:M$289,MATCH(1,INDEX((Analysis!$D$32='Lagging Envelope Data'!$B$4:$B$289)*(Analysis!$D$33='Lagging Envelope Data'!$C$4:$C$289)*(Analysis!$D$34='Lagging Envelope Data'!$E$4:$E$289)*($Y109='Lagging Envelope Data'!$G$4:$G$289),0,1),0)))*$G$73/$G$70)</f>
        <v>340.11539781081416</v>
      </c>
      <c r="AC109" s="15" cm="1">
        <f t="array" ref="AC109">(IF(INDEX('Lagging Envelope Data'!N$4:N$289,MATCH(1,INDEX((Analysis!$D$32='Lagging Envelope Data'!$B$4:$B$289)*(Analysis!$D$33='Lagging Envelope Data'!$C$4:$C$289)*(Analysis!$D$34='Lagging Envelope Data'!$E$4:$E$289)*($Y109='Lagging Envelope Data'!$G$4:$G$289),0,1),0))=0,NA(),INDEX('Lagging Envelope Data'!N$4:N$289,MATCH(1,INDEX((Analysis!$D$32='Lagging Envelope Data'!$B$4:$B$289)*(Analysis!$D$33='Lagging Envelope Data'!$C$4:$C$289)*(Analysis!$D$34='Lagging Envelope Data'!$E$4:$E$289)*($Y109='Lagging Envelope Data'!$G$4:$G$289),0,1),0)))*$G$73/$G$70)</f>
        <v>324.15237384088948</v>
      </c>
      <c r="AD109" s="15" cm="1">
        <f t="array" ref="AD109">(IF(INDEX('Lagging Envelope Data'!O$4:O$289,MATCH(1,INDEX((Analysis!$D$32='Lagging Envelope Data'!$B$4:$B$289)*(Analysis!$D$33='Lagging Envelope Data'!$C$4:$C$289)*(Analysis!$D$34='Lagging Envelope Data'!$E$4:$E$289)*($Y109='Lagging Envelope Data'!$G$4:$G$289),0,1),0))=0,NA(),INDEX('Lagging Envelope Data'!O$4:O$289,MATCH(1,INDEX((Analysis!$D$32='Lagging Envelope Data'!$B$4:$B$289)*(Analysis!$D$33='Lagging Envelope Data'!$C$4:$C$289)*(Analysis!$D$34='Lagging Envelope Data'!$E$4:$E$289)*($Y109='Lagging Envelope Data'!$G$4:$G$289),0,1),0)))*$G$73/$G$70)</f>
        <v>314.75478714891767</v>
      </c>
      <c r="AE109" s="15" cm="1">
        <f t="array" ref="AE109">(IF(INDEX('Lagging Envelope Data'!P$4:P$289,MATCH(1,INDEX((Analysis!$D$32='Lagging Envelope Data'!$B$4:$B$289)*(Analysis!$D$33='Lagging Envelope Data'!$C$4:$C$289)*(Analysis!$D$34='Lagging Envelope Data'!$E$4:$E$289)*($Y109='Lagging Envelope Data'!$G$4:$G$289),0,1),0))=0,NA(),INDEX('Lagging Envelope Data'!P$4:P$289,MATCH(1,INDEX((Analysis!$D$32='Lagging Envelope Data'!$B$4:$B$289)*(Analysis!$D$33='Lagging Envelope Data'!$C$4:$C$289)*(Analysis!$D$34='Lagging Envelope Data'!$E$4:$E$289)*($Y109='Lagging Envelope Data'!$G$4:$G$289),0,1),0)))*$G$73/$G$70)</f>
        <v>305.09973232839872</v>
      </c>
      <c r="AF109" s="15" cm="1">
        <f t="array" ref="AF109">(IF(INDEX('Lagging Envelope Data'!Q$4:Q$289,MATCH(1,INDEX((Analysis!$D$32='Lagging Envelope Data'!$B$4:$B$289)*(Analysis!$D$33='Lagging Envelope Data'!$C$4:$C$289)*(Analysis!$D$34='Lagging Envelope Data'!$E$4:$E$289)*($Y109='Lagging Envelope Data'!$G$4:$G$289),0,1),0))=0,NA(),INDEX('Lagging Envelope Data'!Q$4:Q$289,MATCH(1,INDEX((Analysis!$D$32='Lagging Envelope Data'!$B$4:$B$289)*(Analysis!$D$33='Lagging Envelope Data'!$C$4:$C$289)*(Analysis!$D$34='Lagging Envelope Data'!$E$4:$E$289)*($Y109='Lagging Envelope Data'!$G$4:$G$289),0,1),0)))*$G$73/$G$70)</f>
        <v>288.62177210137975</v>
      </c>
      <c r="AG109" s="15" cm="1">
        <f t="array" ref="AG109">(IF(INDEX('Lagging Envelope Data'!R$4:R$289,MATCH(1,INDEX((Analysis!$D$32='Lagging Envelope Data'!$B$4:$B$289)*(Analysis!$D$33='Lagging Envelope Data'!$C$4:$C$289)*(Analysis!$D$34='Lagging Envelope Data'!$E$4:$E$289)*($Y109='Lagging Envelope Data'!$G$4:$G$289),0,1),0))=0,NA(),INDEX('Lagging Envelope Data'!R$4:R$289,MATCH(1,INDEX((Analysis!$D$32='Lagging Envelope Data'!$B$4:$B$289)*(Analysis!$D$33='Lagging Envelope Data'!$C$4:$C$289)*(Analysis!$D$34='Lagging Envelope Data'!$E$4:$E$289)*($Y109='Lagging Envelope Data'!$G$4:$G$289),0,1),0)))*$G$73/$G$70)</f>
        <v>260.94394828255878</v>
      </c>
      <c r="AH109" s="15" cm="1">
        <f t="array" ref="AH109">(IF(INDEX('Lagging Envelope Data'!S$4:S$289,MATCH(1,INDEX((Analysis!$D$32='Lagging Envelope Data'!$B$4:$B$289)*(Analysis!$D$33='Lagging Envelope Data'!$C$4:$C$289)*(Analysis!$D$34='Lagging Envelope Data'!$E$4:$E$289)*($Y109='Lagging Envelope Data'!$G$4:$G$289),0,1),0))=0,NA(),INDEX('Lagging Envelope Data'!S$4:S$289,MATCH(1,INDEX((Analysis!$D$32='Lagging Envelope Data'!$B$4:$B$289)*(Analysis!$D$33='Lagging Envelope Data'!$C$4:$C$289)*(Analysis!$D$34='Lagging Envelope Data'!$E$4:$E$289)*($Y109='Lagging Envelope Data'!$G$4:$G$289),0,1),0)))*$G$73/$G$70)</f>
        <v>235.96953981348307</v>
      </c>
      <c r="AI109" s="15" cm="1">
        <f t="array" ref="AI109">(IF(INDEX('Lagging Envelope Data'!T$4:T$289,MATCH(1,INDEX((Analysis!$D$32='Lagging Envelope Data'!$B$4:$B$289)*(Analysis!$D$33='Lagging Envelope Data'!$C$4:$C$289)*(Analysis!$D$34='Lagging Envelope Data'!$E$4:$E$289)*($Y109='Lagging Envelope Data'!$G$4:$G$289),0,1),0))=0,NA(),INDEX('Lagging Envelope Data'!T$4:T$289,MATCH(1,INDEX((Analysis!$D$32='Lagging Envelope Data'!$B$4:$B$289)*(Analysis!$D$33='Lagging Envelope Data'!$C$4:$C$289)*(Analysis!$D$34='Lagging Envelope Data'!$E$4:$E$289)*($Y109='Lagging Envelope Data'!$G$4:$G$289),0,1),0)))*$G$73/$G$70)</f>
        <v>235.58333762066235</v>
      </c>
      <c r="AJ109" s="15" cm="1">
        <f t="array" ref="AJ109">(IF(INDEX('Lagging Envelope Data'!U$4:U$289,MATCH(1,INDEX((Analysis!$D$32='Lagging Envelope Data'!$B$4:$B$289)*(Analysis!$D$33='Lagging Envelope Data'!$C$4:$C$289)*(Analysis!$D$34='Lagging Envelope Data'!$E$4:$E$289)*($Y109='Lagging Envelope Data'!$G$4:$G$289),0,1),0))=0,NA(),INDEX('Lagging Envelope Data'!U$4:U$289,MATCH(1,INDEX((Analysis!$D$32='Lagging Envelope Data'!$B$4:$B$289)*(Analysis!$D$33='Lagging Envelope Data'!$C$4:$C$289)*(Analysis!$D$34='Lagging Envelope Data'!$E$4:$E$289)*($Y109='Lagging Envelope Data'!$G$4:$G$289),0,1),0)))*$G$73/$G$70)</f>
        <v>208.80665225175645</v>
      </c>
      <c r="AL109" s="1">
        <f>SUMIF(Z109:AJ109,"&lt;&gt;#N/A",Z109:AJ109)</f>
        <v>3222.6811780158919</v>
      </c>
      <c r="AM109" s="44">
        <f t="shared" si="38"/>
        <v>45</v>
      </c>
      <c r="AN109" s="45">
        <f t="shared" si="55"/>
        <v>979</v>
      </c>
      <c r="AO109" s="54">
        <f t="shared" si="9"/>
        <v>0</v>
      </c>
      <c r="AP109" s="54">
        <f t="shared" si="10"/>
        <v>0</v>
      </c>
      <c r="AQ109" s="54">
        <f t="shared" si="39"/>
        <v>0</v>
      </c>
      <c r="AR109" s="46">
        <f t="shared" si="11"/>
        <v>0</v>
      </c>
      <c r="AS109" s="47">
        <f t="shared" si="40"/>
        <v>0</v>
      </c>
      <c r="AT109" s="47">
        <f t="shared" si="56"/>
        <v>0</v>
      </c>
      <c r="AU109" s="48">
        <f t="shared" si="41"/>
        <v>0</v>
      </c>
      <c r="AV109" s="48">
        <f t="shared" si="12"/>
        <v>873.75142581633452</v>
      </c>
      <c r="AW109" s="140">
        <f t="shared" si="42"/>
        <v>-197.39209979505577</v>
      </c>
      <c r="AX109" s="53"/>
      <c r="AZ109" s="50">
        <f t="shared" si="43"/>
        <v>109.16621292267631</v>
      </c>
      <c r="BA109" s="50">
        <f t="shared" si="44"/>
        <v>109.16621292267631</v>
      </c>
      <c r="BB109" s="50">
        <f t="shared" si="13"/>
        <v>573.97968203459322</v>
      </c>
      <c r="BD109" s="50">
        <f t="shared" si="14"/>
        <v>45</v>
      </c>
      <c r="BE109" s="50">
        <f t="shared" si="15"/>
        <v>979</v>
      </c>
      <c r="BF109" s="53">
        <f t="shared" si="16"/>
        <v>0</v>
      </c>
      <c r="BG109" s="53">
        <f t="shared" si="45"/>
        <v>0</v>
      </c>
      <c r="BH109" s="53">
        <f t="shared" si="46"/>
        <v>873.75142581633452</v>
      </c>
      <c r="BI109" s="127">
        <f t="shared" si="47"/>
        <v>-197.39209979505577</v>
      </c>
      <c r="BK109" s="44">
        <f t="shared" si="48"/>
        <v>45</v>
      </c>
      <c r="BL109" s="45">
        <f t="shared" si="57"/>
        <v>979</v>
      </c>
      <c r="BM109" s="119" cm="1">
        <f t="array" ref="BM109">IF(($AG$51=0),0,
_xlfn.IFS(BK109&lt;=$BL$102,($AG$53*(1-(BK109/$BL$102))),AND(BK109&gt;$BL$102,BK109&lt;($AG$55+$BL$102)),0,BK109&gt;=($AG$55+$BL$102),($AG$53*((BK109-($AG$55+$BL$102))/$BL$102)))-$AG$54)</f>
        <v>0</v>
      </c>
      <c r="BN109" s="119" cm="1">
        <f t="array" ref="BN109">IF(($AG$51=0),0,
_xlfn.IFS(BK109&lt;=$BL$102,($BL$103*(1-(BK109/$BL$102))),AND(BK109&gt;$BL$102,BK109&lt;($AG$55+$BL$102)),0,BK109&gt;=($AG$55+$BL$102),($BL$103*((BK109-($AG$55+$BL$102))/$BL$102))))</f>
        <v>0</v>
      </c>
      <c r="BO109" s="120">
        <f t="shared" si="17"/>
        <v>0</v>
      </c>
      <c r="BP109" s="121">
        <f t="shared" si="18"/>
        <v>0</v>
      </c>
      <c r="BQ109" s="121">
        <f t="shared" si="58"/>
        <v>0</v>
      </c>
      <c r="BR109" s="48">
        <f t="shared" si="19"/>
        <v>0</v>
      </c>
      <c r="BS109" s="48">
        <f t="shared" si="20"/>
        <v>979</v>
      </c>
      <c r="BU109" s="122"/>
      <c r="BW109" s="50">
        <f t="shared" si="49"/>
        <v>45</v>
      </c>
      <c r="BX109" s="50">
        <f t="shared" si="50"/>
        <v>979</v>
      </c>
      <c r="BY109" s="53">
        <f t="shared" si="51"/>
        <v>0</v>
      </c>
      <c r="BZ109" s="53">
        <f t="shared" si="52"/>
        <v>0</v>
      </c>
      <c r="CA109" s="53">
        <f t="shared" si="53"/>
        <v>979</v>
      </c>
      <c r="CC109" s="126">
        <f t="shared" si="54"/>
        <v>873.75142581633452</v>
      </c>
      <c r="CD109" s="127">
        <f t="shared" si="21"/>
        <v>10.815432994768493</v>
      </c>
    </row>
    <row r="110" spans="2:88" x14ac:dyDescent="0.35">
      <c r="B110" s="50" t="b">
        <f t="shared" si="22"/>
        <v>1</v>
      </c>
      <c r="C110" s="21">
        <f t="shared" si="23"/>
        <v>7.9555555555555557</v>
      </c>
      <c r="D110" s="13">
        <f t="shared" si="24"/>
        <v>1.3880505162746211</v>
      </c>
      <c r="E110" s="143">
        <f t="shared" si="25"/>
        <v>99.642680277069758</v>
      </c>
      <c r="F110" s="52">
        <f t="shared" si="26"/>
        <v>0.19436396353326524</v>
      </c>
      <c r="G110" s="50">
        <f t="shared" si="27"/>
        <v>13.952623516691601</v>
      </c>
      <c r="H110" s="50">
        <f t="shared" si="5"/>
        <v>113.59530379376136</v>
      </c>
      <c r="I110" s="16">
        <f t="shared" si="28"/>
        <v>5.1208458407107136</v>
      </c>
      <c r="J110" s="22">
        <f t="shared" si="29"/>
        <v>2.3207317731109657E-2</v>
      </c>
      <c r="K110" s="15">
        <f t="shared" si="59"/>
        <v>844.74128275554767</v>
      </c>
      <c r="L110" s="15">
        <f t="shared" si="6"/>
        <v>570.57837403279143</v>
      </c>
      <c r="M110" s="17">
        <f t="shared" si="30"/>
        <v>0.19908799380334205</v>
      </c>
      <c r="N110" s="15">
        <f t="shared" si="31"/>
        <v>319</v>
      </c>
      <c r="O110" s="17">
        <f t="shared" si="32"/>
        <v>0.55908182734886991</v>
      </c>
      <c r="P110" s="15">
        <f t="shared" si="33"/>
        <v>0</v>
      </c>
      <c r="Q110" s="7">
        <f t="shared" si="34"/>
        <v>0</v>
      </c>
      <c r="R110" s="17">
        <f t="shared" si="7"/>
        <v>0.55908182734886991</v>
      </c>
      <c r="S110" s="17">
        <f t="shared" si="35"/>
        <v>0.38775029961292595</v>
      </c>
      <c r="T110" s="162">
        <f t="shared" si="36"/>
        <v>400.53948394020347</v>
      </c>
      <c r="U110" s="162">
        <f>ABS($L110-$L111)*IF($B110,FORECAST($L110,
INDEX($Z$119:$AJ$119,MATCH($L110,$Z$105:$AJ$105,1)):INDEX($Z$119:$AJ$119,MATCH($L110,$Z$105:$AJ$105,1)+1),
INDEX($Z$105:$AJ$105,MATCH($L110,$Z$105:$AJ$105,1)):INDEX($Z$105:$AJ$105,MATCH($L110,$Z$105:$AJ$105,1)+1)),0)</f>
        <v>0</v>
      </c>
      <c r="V110" s="162">
        <f>ABS($L110-$L111)*IF($B110,FORECAST($L110,
INDEX($Z$120:$AJ$120,MATCH($L110,$Z$105:$AJ$105,1)):INDEX($Z$120:$AJ$120,MATCH($L110,$Z$105:$AJ$105,1)+1),
INDEX($Z$105:$AJ$105,MATCH($L110,$Z$105:$AJ$105,1)):INDEX($Z$105:$AJ$105,MATCH($L110,$Z$105:$AJ$105,1)+1)),0)</f>
        <v>1064.9155076813479</v>
      </c>
      <c r="W110" s="162">
        <f>ABS($L110-$L111)*IF($B110,FORECAST($L110,
INDEX($Z$121:$AJ$121,MATCH($L110,$Z$105:$AJ$105,1)):INDEX($Z$121:$AJ$121,MATCH($L110,$Z$105:$AJ$105,1)+1),
INDEX($Z$105:$AJ$105,MATCH($L110,$Z$105:$AJ$105,1)):INDEX($Z$105:$AJ$105,MATCH($L110,$Z$105:$AJ$105,1)+1)),0)</f>
        <v>1219.1287714316045</v>
      </c>
      <c r="X110" s="162">
        <f>ABS($L110-$L111)*IF($B110,FORECAST($L110,
INDEX($Z$122:$AJ$122,MATCH($L110,$Z$105:$AJ$105,1)):INDEX($Z$122:$AJ$122,MATCH($L110,$Z$105:$AJ$105,1)+1),
INDEX($Z$105:$AJ$105,MATCH($L110,$Z$105:$AJ$105,1)):INDEX($Z$105:$AJ$105,MATCH($L110,$Z$105:$AJ$105,1)+1)),0)</f>
        <v>945.44955147267467</v>
      </c>
      <c r="Y110" t="s">
        <v>117</v>
      </c>
      <c r="Z110" s="15" cm="1">
        <f t="array" ref="Z110">(IF(INDEX('Lagging Envelope Data'!K$4:K$289,MATCH(1,INDEX((Analysis!$D$32='Lagging Envelope Data'!$B$4:$B$289)*(Analysis!$D$33='Lagging Envelope Data'!$C$4:$C$289)*(Analysis!$D$34='Lagging Envelope Data'!$E$4:$E$289)*($Y110='Lagging Envelope Data'!$G$4:$G$289),0,1),0))=0,NA(),INDEX('Lagging Envelope Data'!K$4:K$289,MATCH(1,INDEX((Analysis!$D$32='Lagging Envelope Data'!$B$4:$B$289)*(Analysis!$D$33='Lagging Envelope Data'!$C$4:$C$289)*(Analysis!$D$34='Lagging Envelope Data'!$E$4:$E$289)*($Y110='Lagging Envelope Data'!$G$4:$G$289),0,1),0)))*$G$73*$G$74/$G$70)</f>
        <v>357.31837541441553</v>
      </c>
      <c r="AA110" s="15" cm="1">
        <f t="array" ref="AA110">(IF(INDEX('Lagging Envelope Data'!L$4:L$289,MATCH(1,INDEX((Analysis!$D$32='Lagging Envelope Data'!$B$4:$B$289)*(Analysis!$D$33='Lagging Envelope Data'!$C$4:$C$289)*(Analysis!$D$34='Lagging Envelope Data'!$E$4:$E$289)*($Y110='Lagging Envelope Data'!$G$4:$G$289),0,1),0))=0,NA(),INDEX('Lagging Envelope Data'!L$4:L$289,MATCH(1,INDEX((Analysis!$D$32='Lagging Envelope Data'!$B$4:$B$289)*(Analysis!$D$33='Lagging Envelope Data'!$C$4:$C$289)*(Analysis!$D$34='Lagging Envelope Data'!$E$4:$E$289)*($Y110='Lagging Envelope Data'!$G$4:$G$289),0,1),0)))*$G$73*$G$74/$G$70)</f>
        <v>357.75196461629542</v>
      </c>
      <c r="AB110" s="15" cm="1">
        <f t="array" ref="AB110">(IF(INDEX('Lagging Envelope Data'!M$4:M$289,MATCH(1,INDEX((Analysis!$D$32='Lagging Envelope Data'!$B$4:$B$289)*(Analysis!$D$33='Lagging Envelope Data'!$C$4:$C$289)*(Analysis!$D$34='Lagging Envelope Data'!$E$4:$E$289)*($Y110='Lagging Envelope Data'!$G$4:$G$289),0,1),0))=0,NA(),INDEX('Lagging Envelope Data'!M$4:M$289,MATCH(1,INDEX((Analysis!$D$32='Lagging Envelope Data'!$B$4:$B$289)*(Analysis!$D$33='Lagging Envelope Data'!$C$4:$C$289)*(Analysis!$D$34='Lagging Envelope Data'!$E$4:$E$289)*($Y110='Lagging Envelope Data'!$G$4:$G$289),0,1),0)))*$G$73*$G$74/$G$70)</f>
        <v>350.92905920979535</v>
      </c>
      <c r="AC110" s="15" cm="1">
        <f t="array" ref="AC110">(IF(INDEX('Lagging Envelope Data'!N$4:N$289,MATCH(1,INDEX((Analysis!$D$32='Lagging Envelope Data'!$B$4:$B$289)*(Analysis!$D$33='Lagging Envelope Data'!$C$4:$C$289)*(Analysis!$D$34='Lagging Envelope Data'!$E$4:$E$289)*($Y110='Lagging Envelope Data'!$G$4:$G$289),0,1),0))=0,NA(),INDEX('Lagging Envelope Data'!N$4:N$289,MATCH(1,INDEX((Analysis!$D$32='Lagging Envelope Data'!$B$4:$B$289)*(Analysis!$D$33='Lagging Envelope Data'!$C$4:$C$289)*(Analysis!$D$34='Lagging Envelope Data'!$E$4:$E$289)*($Y110='Lagging Envelope Data'!$G$4:$G$289),0,1),0)))*$G$73*$G$74/$G$70)</f>
        <v>356.59335803783318</v>
      </c>
      <c r="AD110" s="15" cm="1">
        <f t="array" ref="AD110">(IF(INDEX('Lagging Envelope Data'!O$4:O$289,MATCH(1,INDEX((Analysis!$D$32='Lagging Envelope Data'!$B$4:$B$289)*(Analysis!$D$33='Lagging Envelope Data'!$C$4:$C$289)*(Analysis!$D$34='Lagging Envelope Data'!$E$4:$E$289)*($Y110='Lagging Envelope Data'!$G$4:$G$289),0,1),0))=0,NA(),INDEX('Lagging Envelope Data'!O$4:O$289,MATCH(1,INDEX((Analysis!$D$32='Lagging Envelope Data'!$B$4:$B$289)*(Analysis!$D$33='Lagging Envelope Data'!$C$4:$C$289)*(Analysis!$D$34='Lagging Envelope Data'!$E$4:$E$289)*($Y110='Lagging Envelope Data'!$G$4:$G$289),0,1),0)))*$G$73*$G$74/$G$70)</f>
        <v>349.89918669560666</v>
      </c>
      <c r="AE110" s="15" cm="1">
        <f t="array" ref="AE110">(IF(INDEX('Lagging Envelope Data'!P$4:P$289,MATCH(1,INDEX((Analysis!$D$32='Lagging Envelope Data'!$B$4:$B$289)*(Analysis!$D$33='Lagging Envelope Data'!$C$4:$C$289)*(Analysis!$D$34='Lagging Envelope Data'!$E$4:$E$289)*($Y110='Lagging Envelope Data'!$G$4:$G$289),0,1),0))=0,NA(),INDEX('Lagging Envelope Data'!P$4:P$289,MATCH(1,INDEX((Analysis!$D$32='Lagging Envelope Data'!$B$4:$B$289)*(Analysis!$D$33='Lagging Envelope Data'!$C$4:$C$289)*(Analysis!$D$34='Lagging Envelope Data'!$E$4:$E$289)*($Y110='Lagging Envelope Data'!$G$4:$G$289),0,1),0)))*$G$73*$G$74/$G$70)</f>
        <v>353.63247455954064</v>
      </c>
      <c r="AF110" s="15" cm="1">
        <f t="array" ref="AF110">(IF(INDEX('Lagging Envelope Data'!Q$4:Q$289,MATCH(1,INDEX((Analysis!$D$32='Lagging Envelope Data'!$B$4:$B$289)*(Analysis!$D$33='Lagging Envelope Data'!$C$4:$C$289)*(Analysis!$D$34='Lagging Envelope Data'!$E$4:$E$289)*($Y110='Lagging Envelope Data'!$G$4:$G$289),0,1),0))=0,NA(),INDEX('Lagging Envelope Data'!Q$4:Q$289,MATCH(1,INDEX((Analysis!$D$32='Lagging Envelope Data'!$B$4:$B$289)*(Analysis!$D$33='Lagging Envelope Data'!$C$4:$C$289)*(Analysis!$D$34='Lagging Envelope Data'!$E$4:$E$289)*($Y110='Lagging Envelope Data'!$G$4:$G$289),0,1),0)))*$G$73*$G$74/$G$70)</f>
        <v>345.52222851030473</v>
      </c>
      <c r="AG110" s="15" cm="1">
        <f t="array" ref="AG110">(IF(INDEX('Lagging Envelope Data'!R$4:R$289,MATCH(1,INDEX((Analysis!$D$32='Lagging Envelope Data'!$B$4:$B$289)*(Analysis!$D$33='Lagging Envelope Data'!$C$4:$C$289)*(Analysis!$D$34='Lagging Envelope Data'!$E$4:$E$289)*($Y110='Lagging Envelope Data'!$G$4:$G$289),0,1),0))=0,NA(),INDEX('Lagging Envelope Data'!R$4:R$289,MATCH(1,INDEX((Analysis!$D$32='Lagging Envelope Data'!$B$4:$B$289)*(Analysis!$D$33='Lagging Envelope Data'!$C$4:$C$289)*(Analysis!$D$34='Lagging Envelope Data'!$E$4:$E$289)*($Y110='Lagging Envelope Data'!$G$4:$G$289),0,1),0)))*$G$73*$G$74/$G$70)</f>
        <v>307.15947735677611</v>
      </c>
      <c r="AH110" s="15" cm="1">
        <f t="array" ref="AH110">(IF(INDEX('Lagging Envelope Data'!S$4:S$289,MATCH(1,INDEX((Analysis!$D$32='Lagging Envelope Data'!$B$4:$B$289)*(Analysis!$D$33='Lagging Envelope Data'!$C$4:$C$289)*(Analysis!$D$34='Lagging Envelope Data'!$E$4:$E$289)*($Y110='Lagging Envelope Data'!$G$4:$G$289),0,1),0))=0,NA(),INDEX('Lagging Envelope Data'!S$4:S$289,MATCH(1,INDEX((Analysis!$D$32='Lagging Envelope Data'!$B$4:$B$289)*(Analysis!$D$33='Lagging Envelope Data'!$C$4:$C$289)*(Analysis!$D$34='Lagging Envelope Data'!$E$4:$E$289)*($Y110='Lagging Envelope Data'!$G$4:$G$289),0,1),0)))*$G$73*$G$74/$G$70)</f>
        <v>265.06343833931351</v>
      </c>
      <c r="AI110" s="15" cm="1">
        <f t="array" ref="AI110">(IF(INDEX('Lagging Envelope Data'!T$4:T$289,MATCH(1,INDEX((Analysis!$D$32='Lagging Envelope Data'!$B$4:$B$289)*(Analysis!$D$33='Lagging Envelope Data'!$C$4:$C$289)*(Analysis!$D$34='Lagging Envelope Data'!$E$4:$E$289)*($Y110='Lagging Envelope Data'!$G$4:$G$289),0,1),0))=0,NA(),INDEX('Lagging Envelope Data'!T$4:T$289,MATCH(1,INDEX((Analysis!$D$32='Lagging Envelope Data'!$B$4:$B$289)*(Analysis!$D$33='Lagging Envelope Data'!$C$4:$C$289)*(Analysis!$D$34='Lagging Envelope Data'!$E$4:$E$289)*($Y110='Lagging Envelope Data'!$G$4:$G$289),0,1),0)))*$G$73*$G$74/$G$70)</f>
        <v>209.45032257312437</v>
      </c>
      <c r="AJ110" s="15" cm="1">
        <f t="array" ref="AJ110">(IF(INDEX('Lagging Envelope Data'!U$4:U$289,MATCH(1,INDEX((Analysis!$D$32='Lagging Envelope Data'!$B$4:$B$289)*(Analysis!$D$33='Lagging Envelope Data'!$C$4:$C$289)*(Analysis!$D$34='Lagging Envelope Data'!$E$4:$E$289)*($Y110='Lagging Envelope Data'!$G$4:$G$289),0,1),0))=0,NA(),INDEX('Lagging Envelope Data'!U$4:U$289,MATCH(1,INDEX((Analysis!$D$32='Lagging Envelope Data'!$B$4:$B$289)*(Analysis!$D$33='Lagging Envelope Data'!$C$4:$C$289)*(Analysis!$D$34='Lagging Envelope Data'!$E$4:$E$289)*($Y110='Lagging Envelope Data'!$G$4:$G$289),0,1),0)))*$G$73*$G$74/$G$70)</f>
        <v>160.91758034198247</v>
      </c>
      <c r="AL110" s="1">
        <f>SUMIF(Z110:AJ110,"&lt;&gt;#N/A",Z110:AJ110)</f>
        <v>3414.2374656549878</v>
      </c>
      <c r="AM110" s="44">
        <f t="shared" si="38"/>
        <v>60</v>
      </c>
      <c r="AN110" s="45">
        <f t="shared" si="55"/>
        <v>979</v>
      </c>
      <c r="AO110" s="54">
        <f t="shared" si="9"/>
        <v>0</v>
      </c>
      <c r="AP110" s="54">
        <f t="shared" si="10"/>
        <v>0</v>
      </c>
      <c r="AQ110" s="54">
        <f t="shared" si="39"/>
        <v>0</v>
      </c>
      <c r="AR110" s="46">
        <f t="shared" si="11"/>
        <v>0</v>
      </c>
      <c r="AS110" s="47">
        <f t="shared" si="40"/>
        <v>0</v>
      </c>
      <c r="AT110" s="47">
        <f t="shared" si="56"/>
        <v>0</v>
      </c>
      <c r="AU110" s="48">
        <f t="shared" si="41"/>
        <v>0</v>
      </c>
      <c r="AV110" s="48">
        <f t="shared" si="12"/>
        <v>873.75142581633452</v>
      </c>
      <c r="AW110" s="140">
        <f t="shared" si="42"/>
        <v>-197.39209979505577</v>
      </c>
      <c r="AX110" s="53"/>
      <c r="AZ110" s="50">
        <f t="shared" si="43"/>
        <v>113.59530379376136</v>
      </c>
      <c r="BA110" s="50">
        <f t="shared" si="44"/>
        <v>113.59530379376136</v>
      </c>
      <c r="BB110" s="50">
        <f t="shared" si="13"/>
        <v>570.57837403279143</v>
      </c>
      <c r="BD110" s="50">
        <f t="shared" si="14"/>
        <v>60</v>
      </c>
      <c r="BE110" s="50">
        <f t="shared" si="15"/>
        <v>979</v>
      </c>
      <c r="BF110" s="53">
        <f t="shared" si="16"/>
        <v>0</v>
      </c>
      <c r="BG110" s="53">
        <f t="shared" si="45"/>
        <v>0</v>
      </c>
      <c r="BH110" s="53">
        <f t="shared" si="46"/>
        <v>873.75142581633452</v>
      </c>
      <c r="BI110" s="127">
        <f t="shared" si="47"/>
        <v>-197.39209979505577</v>
      </c>
      <c r="BK110" s="44">
        <f t="shared" si="48"/>
        <v>60</v>
      </c>
      <c r="BL110" s="45">
        <f t="shared" si="57"/>
        <v>979</v>
      </c>
      <c r="BM110" s="119" cm="1">
        <f t="array" ref="BM110">IF(($AG$51=0),0,
_xlfn.IFS(BK110&lt;=$BL$102,($AG$53*(1-(BK110/$BL$102))),AND(BK110&gt;$BL$102,BK110&lt;($AG$55+$BL$102)),0,BK110&gt;=($AG$55+$BL$102),($AG$53*((BK110-($AG$55+$BL$102))/$BL$102)))-$AG$54)</f>
        <v>0</v>
      </c>
      <c r="BN110" s="119" cm="1">
        <f t="array" ref="BN110">IF(($AG$51=0),0,
_xlfn.IFS(BK110&lt;=$BL$102,($BL$103*(1-(BK110/$BL$102))),AND(BK110&gt;$BL$102,BK110&lt;($AG$55+$BL$102)),0,BK110&gt;=($AG$55+$BL$102),($BL$103*((BK110-($AG$55+$BL$102))/$BL$102))))</f>
        <v>0</v>
      </c>
      <c r="BO110" s="120">
        <f t="shared" si="17"/>
        <v>0</v>
      </c>
      <c r="BP110" s="121">
        <f t="shared" si="18"/>
        <v>0</v>
      </c>
      <c r="BQ110" s="121">
        <f t="shared" si="58"/>
        <v>0</v>
      </c>
      <c r="BR110" s="48">
        <f t="shared" si="19"/>
        <v>0</v>
      </c>
      <c r="BS110" s="48">
        <f t="shared" si="20"/>
        <v>979</v>
      </c>
      <c r="BU110" s="122"/>
      <c r="BW110" s="50">
        <f t="shared" si="49"/>
        <v>60</v>
      </c>
      <c r="BX110" s="50">
        <f t="shared" si="50"/>
        <v>979</v>
      </c>
      <c r="BY110" s="53">
        <f t="shared" si="51"/>
        <v>0</v>
      </c>
      <c r="BZ110" s="53">
        <f t="shared" si="52"/>
        <v>0</v>
      </c>
      <c r="CA110" s="53">
        <f t="shared" si="53"/>
        <v>979</v>
      </c>
      <c r="CC110" s="126">
        <f t="shared" si="54"/>
        <v>873.75142581633452</v>
      </c>
      <c r="CD110" s="127">
        <f t="shared" si="21"/>
        <v>10.815432994768493</v>
      </c>
    </row>
    <row r="111" spans="2:88" x14ac:dyDescent="0.35">
      <c r="B111" s="50" t="b">
        <f t="shared" si="22"/>
        <v>1</v>
      </c>
      <c r="C111" s="21">
        <f t="shared" si="23"/>
        <v>9.9444444444444446</v>
      </c>
      <c r="D111" s="13">
        <f t="shared" si="24"/>
        <v>1.4112578340057307</v>
      </c>
      <c r="E111" s="143">
        <f t="shared" si="25"/>
        <v>101.30864222417215</v>
      </c>
      <c r="F111" s="52">
        <f t="shared" si="26"/>
        <v>0.2332367562399183</v>
      </c>
      <c r="G111" s="50">
        <f t="shared" si="27"/>
        <v>16.743148220029923</v>
      </c>
      <c r="H111" s="50">
        <f t="shared" si="5"/>
        <v>118.05179044420207</v>
      </c>
      <c r="I111" s="16">
        <f t="shared" si="28"/>
        <v>5.2064631111803523</v>
      </c>
      <c r="J111" s="22">
        <f t="shared" si="29"/>
        <v>2.3595329255155749E-2</v>
      </c>
      <c r="K111" s="15">
        <f t="shared" si="59"/>
        <v>839.62143691483698</v>
      </c>
      <c r="L111" s="15">
        <f t="shared" si="6"/>
        <v>567.12018704142997</v>
      </c>
      <c r="M111" s="17">
        <f t="shared" si="30"/>
        <v>0.20816009223734086</v>
      </c>
      <c r="N111" s="15">
        <f t="shared" si="31"/>
        <v>319</v>
      </c>
      <c r="O111" s="17">
        <f t="shared" si="32"/>
        <v>0.56249099800902702</v>
      </c>
      <c r="P111" s="15">
        <f t="shared" si="33"/>
        <v>0</v>
      </c>
      <c r="Q111" s="7">
        <f t="shared" si="34"/>
        <v>0</v>
      </c>
      <c r="R111" s="17">
        <f t="shared" si="7"/>
        <v>0.56249099800902702</v>
      </c>
      <c r="S111" s="17">
        <f t="shared" si="35"/>
        <v>0.39011472442561557</v>
      </c>
      <c r="T111" s="162">
        <f t="shared" si="36"/>
        <v>422.95560608757393</v>
      </c>
      <c r="U111" s="162">
        <f>ABS($L111-$L112)*IF($B111,FORECAST($L111,
INDEX($Z$119:$AJ$119,MATCH($L111,$Z$105:$AJ$105,1)):INDEX($Z$119:$AJ$119,MATCH($L111,$Z$105:$AJ$105,1)+1),
INDEX($Z$105:$AJ$105,MATCH($L111,$Z$105:$AJ$105,1)):INDEX($Z$105:$AJ$105,MATCH($L111,$Z$105:$AJ$105,1)+1)),0)</f>
        <v>0</v>
      </c>
      <c r="V111" s="162">
        <f>ABS($L111-$L112)*IF($B111,FORECAST($L111,
INDEX($Z$120:$AJ$120,MATCH($L111,$Z$105:$AJ$105,1)):INDEX($Z$120:$AJ$120,MATCH($L111,$Z$105:$AJ$105,1)+1),
INDEX($Z$105:$AJ$105,MATCH($L111,$Z$105:$AJ$105,1)):INDEX($Z$105:$AJ$105,MATCH($L111,$Z$105:$AJ$105,1)+1)),0)</f>
        <v>1083.8976544990041</v>
      </c>
      <c r="W111" s="162">
        <f>ABS($L111-$L112)*IF($B111,FORECAST($L111,
INDEX($Z$121:$AJ$121,MATCH($L111,$Z$105:$AJ$105,1)):INDEX($Z$121:$AJ$121,MATCH($L111,$Z$105:$AJ$105,1)+1),
INDEX($Z$105:$AJ$105,MATCH($L111,$Z$105:$AJ$105,1)):INDEX($Z$105:$AJ$105,MATCH($L111,$Z$105:$AJ$105,1)+1)),0)</f>
        <v>1239.0618745890049</v>
      </c>
      <c r="X111" s="162">
        <f>ABS($L111-$L112)*IF($B111,FORECAST($L111,
INDEX($Z$122:$AJ$122,MATCH($L111,$Z$105:$AJ$105,1)):INDEX($Z$122:$AJ$122,MATCH($L111,$Z$105:$AJ$105,1)+1),
INDEX($Z$105:$AJ$105,MATCH($L111,$Z$105:$AJ$105,1)):INDEX($Z$105:$AJ$105,MATCH($L111,$Z$105:$AJ$105,1)+1)),0)</f>
        <v>962.84088733134922</v>
      </c>
      <c r="Y111" t="s">
        <v>118</v>
      </c>
      <c r="Z111" s="15" cm="1">
        <f t="array" ref="Z111">(IF(INDEX('Lagging Envelope Data'!K$4:K$289,MATCH(1,INDEX((Analysis!$D$32='Lagging Envelope Data'!$B$4:$B$289)*(Analysis!$D$33='Lagging Envelope Data'!$C$4:$C$289)*(Analysis!$D$34='Lagging Envelope Data'!$E$4:$E$289)*($Y111='Lagging Envelope Data'!$G$4:$G$289),0,1),0))=0,NA(),INDEX('Lagging Envelope Data'!K$4:K$289,MATCH(1,INDEX((Analysis!$D$32='Lagging Envelope Data'!$B$4:$B$289)*(Analysis!$D$33='Lagging Envelope Data'!$C$4:$C$289)*(Analysis!$D$34='Lagging Envelope Data'!$E$4:$E$289)*($Y111='Lagging Envelope Data'!$G$4:$G$289),0,1),0)))*$G$73/$G$70)</f>
        <v>323.53182415746505</v>
      </c>
      <c r="AA111" s="15" cm="1">
        <f t="array" ref="AA111">(IF(INDEX('Lagging Envelope Data'!L$4:L$289,MATCH(1,INDEX((Analysis!$D$32='Lagging Envelope Data'!$B$4:$B$289)*(Analysis!$D$33='Lagging Envelope Data'!$C$4:$C$289)*(Analysis!$D$34='Lagging Envelope Data'!$E$4:$E$289)*($Y111='Lagging Envelope Data'!$G$4:$G$289),0,1),0))=0,NA(),INDEX('Lagging Envelope Data'!L$4:L$289,MATCH(1,INDEX((Analysis!$D$32='Lagging Envelope Data'!$B$4:$B$289)*(Analysis!$D$33='Lagging Envelope Data'!$C$4:$C$289)*(Analysis!$D$34='Lagging Envelope Data'!$E$4:$E$289)*($Y111='Lagging Envelope Data'!$G$4:$G$289),0,1),0)))*$G$73/$G$70)</f>
        <v>321.44895849114414</v>
      </c>
      <c r="AB111" s="15" cm="1">
        <f t="array" ref="AB111">(IF(INDEX('Lagging Envelope Data'!M$4:M$289,MATCH(1,INDEX((Analysis!$D$32='Lagging Envelope Data'!$B$4:$B$289)*(Analysis!$D$33='Lagging Envelope Data'!$C$4:$C$289)*(Analysis!$D$34='Lagging Envelope Data'!$E$4:$E$289)*($Y111='Lagging Envelope Data'!$G$4:$G$289),0,1),0))=0,NA(),INDEX('Lagging Envelope Data'!M$4:M$289,MATCH(1,INDEX((Analysis!$D$32='Lagging Envelope Data'!$B$4:$B$289)*(Analysis!$D$33='Lagging Envelope Data'!$C$4:$C$289)*(Analysis!$D$34='Lagging Envelope Data'!$E$4:$E$289)*($Y111='Lagging Envelope Data'!$G$4:$G$289),0,1),0)))*$G$73/$G$70)</f>
        <v>306.00087077831387</v>
      </c>
      <c r="AC111" s="15" cm="1">
        <f t="array" ref="AC111">(IF(INDEX('Lagging Envelope Data'!N$4:N$289,MATCH(1,INDEX((Analysis!$D$32='Lagging Envelope Data'!$B$4:$B$289)*(Analysis!$D$33='Lagging Envelope Data'!$C$4:$C$289)*(Analysis!$D$34='Lagging Envelope Data'!$E$4:$E$289)*($Y111='Lagging Envelope Data'!$G$4:$G$289),0,1),0))=0,NA(),INDEX('Lagging Envelope Data'!N$4:N$289,MATCH(1,INDEX((Analysis!$D$32='Lagging Envelope Data'!$B$4:$B$289)*(Analysis!$D$33='Lagging Envelope Data'!$C$4:$C$289)*(Analysis!$D$34='Lagging Envelope Data'!$E$4:$E$289)*($Y111='Lagging Envelope Data'!$G$4:$G$289),0,1),0)))*$G$73/$G$70)</f>
        <v>287.07696333009676</v>
      </c>
      <c r="AD111" s="15" cm="1">
        <f t="array" ref="AD111">(IF(INDEX('Lagging Envelope Data'!O$4:O$289,MATCH(1,INDEX((Analysis!$D$32='Lagging Envelope Data'!$B$4:$B$289)*(Analysis!$D$33='Lagging Envelope Data'!$C$4:$C$289)*(Analysis!$D$34='Lagging Envelope Data'!$E$4:$E$289)*($Y111='Lagging Envelope Data'!$G$4:$G$289),0,1),0))=0,NA(),INDEX('Lagging Envelope Data'!O$4:O$289,MATCH(1,INDEX((Analysis!$D$32='Lagging Envelope Data'!$B$4:$B$289)*(Analysis!$D$33='Lagging Envelope Data'!$C$4:$C$289)*(Analysis!$D$34='Lagging Envelope Data'!$E$4:$E$289)*($Y111='Lagging Envelope Data'!$G$4:$G$289),0,1),0)))*$G$73/$G$70)</f>
        <v>282.57127108052123</v>
      </c>
      <c r="AE111" s="15" cm="1">
        <f t="array" ref="AE111">(IF(INDEX('Lagging Envelope Data'!P$4:P$289,MATCH(1,INDEX((Analysis!$D$32='Lagging Envelope Data'!$B$4:$B$289)*(Analysis!$D$33='Lagging Envelope Data'!$C$4:$C$289)*(Analysis!$D$34='Lagging Envelope Data'!$E$4:$E$289)*($Y111='Lagging Envelope Data'!$G$4:$G$289),0,1),0))=0,NA(),INDEX('Lagging Envelope Data'!P$4:P$289,MATCH(1,INDEX((Analysis!$D$32='Lagging Envelope Data'!$B$4:$B$289)*(Analysis!$D$33='Lagging Envelope Data'!$C$4:$C$289)*(Analysis!$D$34='Lagging Envelope Data'!$E$4:$E$289)*($Y111='Lagging Envelope Data'!$G$4:$G$289),0,1),0)))*$G$73/$G$70)</f>
        <v>269.56913058888898</v>
      </c>
      <c r="AF111" s="15" cm="1">
        <f t="array" ref="AF111">(IF(INDEX('Lagging Envelope Data'!Q$4:Q$289,MATCH(1,INDEX((Analysis!$D$32='Lagging Envelope Data'!$B$4:$B$289)*(Analysis!$D$33='Lagging Envelope Data'!$C$4:$C$289)*(Analysis!$D$34='Lagging Envelope Data'!$E$4:$E$289)*($Y111='Lagging Envelope Data'!$G$4:$G$289),0,1),0))=0,NA(),INDEX('Lagging Envelope Data'!Q$4:Q$289,MATCH(1,INDEX((Analysis!$D$32='Lagging Envelope Data'!$B$4:$B$289)*(Analysis!$D$33='Lagging Envelope Data'!$C$4:$C$289)*(Analysis!$D$34='Lagging Envelope Data'!$E$4:$E$289)*($Y111='Lagging Envelope Data'!$G$4:$G$289),0,1),0)))*$G$73/$G$70)</f>
        <v>248.97168030511529</v>
      </c>
      <c r="AG111" s="15" cm="1">
        <f t="array" ref="AG111">(IF(INDEX('Lagging Envelope Data'!R$4:R$289,MATCH(1,INDEX((Analysis!$D$32='Lagging Envelope Data'!$B$4:$B$289)*(Analysis!$D$33='Lagging Envelope Data'!$C$4:$C$289)*(Analysis!$D$34='Lagging Envelope Data'!$E$4:$E$289)*($Y111='Lagging Envelope Data'!$G$4:$G$289),0,1),0))=0,NA(),INDEX('Lagging Envelope Data'!R$4:R$289,MATCH(1,INDEX((Analysis!$D$32='Lagging Envelope Data'!$B$4:$B$289)*(Analysis!$D$33='Lagging Envelope Data'!$C$4:$C$289)*(Analysis!$D$34='Lagging Envelope Data'!$E$4:$E$289)*($Y111='Lagging Envelope Data'!$G$4:$G$289),0,1),0)))*$G$73/$G$70)</f>
        <v>225.41334654304904</v>
      </c>
      <c r="AH111" s="15" cm="1">
        <f t="array" ref="AH111">(IF(INDEX('Lagging Envelope Data'!S$4:S$289,MATCH(1,INDEX((Analysis!$D$32='Lagging Envelope Data'!$B$4:$B$289)*(Analysis!$D$33='Lagging Envelope Data'!$C$4:$C$289)*(Analysis!$D$34='Lagging Envelope Data'!$E$4:$E$289)*($Y111='Lagging Envelope Data'!$G$4:$G$289),0,1),0))=0,NA(),INDEX('Lagging Envelope Data'!S$4:S$289,MATCH(1,INDEX((Analysis!$D$32='Lagging Envelope Data'!$B$4:$B$289)*(Analysis!$D$33='Lagging Envelope Data'!$C$4:$C$289)*(Analysis!$D$34='Lagging Envelope Data'!$E$4:$E$289)*($Y111='Lagging Envelope Data'!$G$4:$G$289),0,1),0)))*$G$73/$G$70)</f>
        <v>197.73552272422805</v>
      </c>
      <c r="AI111" s="15" cm="1">
        <f t="array" ref="AI111">(IF(INDEX('Lagging Envelope Data'!T$4:T$289,MATCH(1,INDEX((Analysis!$D$32='Lagging Envelope Data'!$B$4:$B$289)*(Analysis!$D$33='Lagging Envelope Data'!$C$4:$C$289)*(Analysis!$D$34='Lagging Envelope Data'!$E$4:$E$289)*($Y111='Lagging Envelope Data'!$G$4:$G$289),0,1),0))=0,NA(),INDEX('Lagging Envelope Data'!T$4:T$289,MATCH(1,INDEX((Analysis!$D$32='Lagging Envelope Data'!$B$4:$B$289)*(Analysis!$D$33='Lagging Envelope Data'!$C$4:$C$289)*(Analysis!$D$34='Lagging Envelope Data'!$E$4:$E$289)*($Y111='Lagging Envelope Data'!$G$4:$G$289),0,1),0)))*$G$73/$G$70)</f>
        <v>158.21416499223716</v>
      </c>
      <c r="AJ111" s="15" cm="1">
        <f t="array" ref="AJ111">(IF(INDEX('Lagging Envelope Data'!U$4:U$289,MATCH(1,INDEX((Analysis!$D$32='Lagging Envelope Data'!$B$4:$B$289)*(Analysis!$D$33='Lagging Envelope Data'!$C$4:$C$289)*(Analysis!$D$34='Lagging Envelope Data'!$E$4:$E$289)*($Y111='Lagging Envelope Data'!$G$4:$G$289),0,1),0))=0,NA(),INDEX('Lagging Envelope Data'!U$4:U$289,MATCH(1,INDEX((Analysis!$D$32='Lagging Envelope Data'!$B$4:$B$289)*(Analysis!$D$33='Lagging Envelope Data'!$C$4:$C$289)*(Analysis!$D$34='Lagging Envelope Data'!$E$4:$E$289)*($Y111='Lagging Envelope Data'!$G$4:$G$289),0,1),0)))*$G$73/$G$70)</f>
        <v>132.59608620179355</v>
      </c>
      <c r="AL111" s="1">
        <f>SUMIF(Z111:AJ111,"&lt;&gt;#N/A",Z111:AJ111)</f>
        <v>2753.1298191928531</v>
      </c>
      <c r="AM111" s="44">
        <f t="shared" si="38"/>
        <v>75</v>
      </c>
      <c r="AN111" s="45">
        <f t="shared" si="55"/>
        <v>979</v>
      </c>
      <c r="AO111" s="54">
        <f t="shared" si="9"/>
        <v>0</v>
      </c>
      <c r="AP111" s="54">
        <f t="shared" si="10"/>
        <v>0</v>
      </c>
      <c r="AQ111" s="54">
        <f t="shared" si="39"/>
        <v>0</v>
      </c>
      <c r="AR111" s="46">
        <f t="shared" si="11"/>
        <v>0</v>
      </c>
      <c r="AS111" s="47">
        <f t="shared" si="40"/>
        <v>0</v>
      </c>
      <c r="AT111" s="47">
        <f t="shared" si="56"/>
        <v>0</v>
      </c>
      <c r="AU111" s="48">
        <f t="shared" si="41"/>
        <v>0</v>
      </c>
      <c r="AV111" s="48">
        <f t="shared" si="12"/>
        <v>873.75142581633452</v>
      </c>
      <c r="AW111" s="140">
        <f t="shared" si="42"/>
        <v>-197.39209979505577</v>
      </c>
      <c r="AX111" s="53"/>
      <c r="AZ111" s="50">
        <f t="shared" si="43"/>
        <v>118.05179044420207</v>
      </c>
      <c r="BA111" s="50">
        <f t="shared" si="44"/>
        <v>118.05179044420207</v>
      </c>
      <c r="BB111" s="50">
        <f t="shared" si="13"/>
        <v>567.12018704142997</v>
      </c>
      <c r="BD111" s="50">
        <f t="shared" si="14"/>
        <v>75</v>
      </c>
      <c r="BE111" s="50">
        <f t="shared" si="15"/>
        <v>979</v>
      </c>
      <c r="BF111" s="53">
        <f t="shared" si="16"/>
        <v>0</v>
      </c>
      <c r="BG111" s="53">
        <f t="shared" si="45"/>
        <v>0</v>
      </c>
      <c r="BH111" s="53">
        <f t="shared" si="46"/>
        <v>873.75142581633452</v>
      </c>
      <c r="BI111" s="127">
        <f t="shared" si="47"/>
        <v>-197.39209979505577</v>
      </c>
      <c r="BK111" s="44">
        <f t="shared" si="48"/>
        <v>75</v>
      </c>
      <c r="BL111" s="45">
        <f t="shared" si="57"/>
        <v>979</v>
      </c>
      <c r="BM111" s="119" cm="1">
        <f t="array" ref="BM111">IF(($AG$51=0),0,
_xlfn.IFS(BK111&lt;=$BL$102,($AG$53*(1-(BK111/$BL$102))),AND(BK111&gt;$BL$102,BK111&lt;($AG$55+$BL$102)),0,BK111&gt;=($AG$55+$BL$102),($AG$53*((BK111-($AG$55+$BL$102))/$BL$102)))-$AG$54)</f>
        <v>0</v>
      </c>
      <c r="BN111" s="119" cm="1">
        <f t="array" ref="BN111">IF(($AG$51=0),0,
_xlfn.IFS(BK111&lt;=$BL$102,($BL$103*(1-(BK111/$BL$102))),AND(BK111&gt;$BL$102,BK111&lt;($AG$55+$BL$102)),0,BK111&gt;=($AG$55+$BL$102),($BL$103*((BK111-($AG$55+$BL$102))/$BL$102))))</f>
        <v>0</v>
      </c>
      <c r="BO111" s="120">
        <f t="shared" si="17"/>
        <v>0</v>
      </c>
      <c r="BP111" s="121">
        <f t="shared" si="18"/>
        <v>0</v>
      </c>
      <c r="BQ111" s="121">
        <f t="shared" si="58"/>
        <v>0</v>
      </c>
      <c r="BR111" s="48">
        <f t="shared" si="19"/>
        <v>0</v>
      </c>
      <c r="BS111" s="48">
        <f t="shared" si="20"/>
        <v>979</v>
      </c>
      <c r="BU111" s="122"/>
      <c r="BW111" s="50">
        <f t="shared" si="49"/>
        <v>75</v>
      </c>
      <c r="BX111" s="50">
        <f t="shared" si="50"/>
        <v>979</v>
      </c>
      <c r="BY111" s="53">
        <f t="shared" si="51"/>
        <v>0</v>
      </c>
      <c r="BZ111" s="53">
        <f t="shared" si="52"/>
        <v>0</v>
      </c>
      <c r="CA111" s="53">
        <f t="shared" si="53"/>
        <v>979</v>
      </c>
      <c r="CC111" s="126">
        <f t="shared" si="54"/>
        <v>873.75142581633452</v>
      </c>
      <c r="CD111" s="127">
        <f t="shared" si="21"/>
        <v>10.815432994768493</v>
      </c>
    </row>
    <row r="112" spans="2:88" x14ac:dyDescent="0.35">
      <c r="B112" s="50" t="b">
        <f t="shared" si="22"/>
        <v>1</v>
      </c>
      <c r="C112" s="21">
        <f t="shared" si="23"/>
        <v>11.933333333333334</v>
      </c>
      <c r="D112" s="13">
        <f t="shared" si="24"/>
        <v>1.4348531632608865</v>
      </c>
      <c r="E112" s="143">
        <f t="shared" si="25"/>
        <v>103.00245799055634</v>
      </c>
      <c r="F112" s="52">
        <f t="shared" si="26"/>
        <v>0.27210954894657136</v>
      </c>
      <c r="G112" s="50">
        <f t="shared" si="27"/>
        <v>19.533672923368243</v>
      </c>
      <c r="H112" s="50">
        <f t="shared" si="5"/>
        <v>122.53613091392458</v>
      </c>
      <c r="I112" s="16">
        <f t="shared" si="28"/>
        <v>5.2935118477067098</v>
      </c>
      <c r="J112" s="22">
        <f t="shared" si="29"/>
        <v>2.3989828083962213E-2</v>
      </c>
      <c r="K112" s="15">
        <f t="shared" si="59"/>
        <v>834.41597380365658</v>
      </c>
      <c r="L112" s="15">
        <f t="shared" si="6"/>
        <v>563.60417008014633</v>
      </c>
      <c r="M112" s="17">
        <f t="shared" si="30"/>
        <v>0.21741523114795183</v>
      </c>
      <c r="N112" s="15">
        <f t="shared" si="31"/>
        <v>319</v>
      </c>
      <c r="O112" s="17">
        <f t="shared" si="32"/>
        <v>0.56600007050096379</v>
      </c>
      <c r="P112" s="15">
        <f t="shared" si="33"/>
        <v>0</v>
      </c>
      <c r="Q112" s="7">
        <f t="shared" si="34"/>
        <v>0</v>
      </c>
      <c r="R112" s="17">
        <f t="shared" si="7"/>
        <v>0.56600007050096379</v>
      </c>
      <c r="S112" s="17">
        <f t="shared" si="35"/>
        <v>0.39254843599260397</v>
      </c>
      <c r="T112" s="162">
        <f t="shared" si="36"/>
        <v>446.10981280459544</v>
      </c>
      <c r="U112" s="162">
        <f>ABS($L112-$L113)*IF($B112,FORECAST($L112,
INDEX($Z$119:$AJ$119,MATCH($L112,$Z$105:$AJ$105,1)):INDEX($Z$119:$AJ$119,MATCH($L112,$Z$105:$AJ$105,1)+1),
INDEX($Z$105:$AJ$105,MATCH($L112,$Z$105:$AJ$105,1)):INDEX($Z$105:$AJ$105,MATCH($L112,$Z$105:$AJ$105,1)+1)),0)</f>
        <v>0</v>
      </c>
      <c r="V112" s="162">
        <f>ABS($L112-$L113)*IF($B112,FORECAST($L112,
INDEX($Z$120:$AJ$120,MATCH($L112,$Z$105:$AJ$105,1)):INDEX($Z$120:$AJ$120,MATCH($L112,$Z$105:$AJ$105,1)+1),
INDEX($Z$105:$AJ$105,MATCH($L112,$Z$105:$AJ$105,1)):INDEX($Z$105:$AJ$105,MATCH($L112,$Z$105:$AJ$105,1)+1)),0)</f>
        <v>1103.236766152372</v>
      </c>
      <c r="W112" s="162">
        <f>ABS($L112-$L113)*IF($B112,FORECAST($L112,
INDEX($Z$121:$AJ$121,MATCH($L112,$Z$105:$AJ$105,1)):INDEX($Z$121:$AJ$121,MATCH($L112,$Z$105:$AJ$105,1)+1),
INDEX($Z$105:$AJ$105,MATCH($L112,$Z$105:$AJ$105,1)):INDEX($Z$105:$AJ$105,MATCH($L112,$Z$105:$AJ$105,1)+1)),0)</f>
        <v>1259.3129362465399</v>
      </c>
      <c r="X112" s="162">
        <f>ABS($L112-$L113)*IF($B112,FORECAST($L112,
INDEX($Z$122:$AJ$122,MATCH($L112,$Z$105:$AJ$105,1)):INDEX($Z$122:$AJ$122,MATCH($L112,$Z$105:$AJ$105,1)+1),
INDEX($Z$105:$AJ$105,MATCH($L112,$Z$105:$AJ$105,1)):INDEX($Z$105:$AJ$105,MATCH($L112,$Z$105:$AJ$105,1)+1)),0)</f>
        <v>980.57631711244915</v>
      </c>
      <c r="Z112" s="1"/>
      <c r="AA112" s="1"/>
      <c r="AB112" s="1"/>
      <c r="AC112" s="1"/>
      <c r="AD112" s="1"/>
      <c r="AE112" s="1"/>
      <c r="AF112" s="1"/>
      <c r="AG112" s="1"/>
      <c r="AH112" s="1"/>
      <c r="AI112" s="1"/>
      <c r="AJ112" s="1"/>
      <c r="AM112" s="44">
        <f t="shared" si="38"/>
        <v>90</v>
      </c>
      <c r="AN112" s="45">
        <f t="shared" si="55"/>
        <v>979</v>
      </c>
      <c r="AO112" s="54">
        <f t="shared" si="9"/>
        <v>0</v>
      </c>
      <c r="AP112" s="54">
        <f t="shared" si="10"/>
        <v>0</v>
      </c>
      <c r="AQ112" s="54">
        <f t="shared" si="39"/>
        <v>0</v>
      </c>
      <c r="AR112" s="46">
        <f t="shared" si="11"/>
        <v>0</v>
      </c>
      <c r="AS112" s="47">
        <f t="shared" si="40"/>
        <v>0</v>
      </c>
      <c r="AT112" s="47">
        <f t="shared" si="56"/>
        <v>0</v>
      </c>
      <c r="AU112" s="48">
        <f t="shared" si="41"/>
        <v>0</v>
      </c>
      <c r="AV112" s="48">
        <f t="shared" si="12"/>
        <v>873.75142581633452</v>
      </c>
      <c r="AW112" s="140">
        <f t="shared" si="42"/>
        <v>-197.39209979505577</v>
      </c>
      <c r="AX112" s="53"/>
      <c r="AZ112" s="50">
        <f t="shared" si="43"/>
        <v>122.53613091392458</v>
      </c>
      <c r="BA112" s="50">
        <f t="shared" si="44"/>
        <v>122.53613091392458</v>
      </c>
      <c r="BB112" s="50">
        <f t="shared" si="13"/>
        <v>563.60417008014633</v>
      </c>
      <c r="BD112" s="50">
        <f t="shared" si="14"/>
        <v>90</v>
      </c>
      <c r="BE112" s="50">
        <f t="shared" si="15"/>
        <v>979</v>
      </c>
      <c r="BF112" s="53">
        <f t="shared" si="16"/>
        <v>0</v>
      </c>
      <c r="BG112" s="53">
        <f t="shared" si="45"/>
        <v>0</v>
      </c>
      <c r="BH112" s="53">
        <f t="shared" si="46"/>
        <v>873.75142581633452</v>
      </c>
      <c r="BI112" s="127">
        <f t="shared" si="47"/>
        <v>-197.39209979505577</v>
      </c>
      <c r="BK112" s="44">
        <f t="shared" si="48"/>
        <v>90</v>
      </c>
      <c r="BL112" s="45">
        <f t="shared" si="57"/>
        <v>979</v>
      </c>
      <c r="BM112" s="119" cm="1">
        <f t="array" ref="BM112">IF(($AG$51=0),0,
_xlfn.IFS(BK112&lt;=$BL$102,($AG$53*(1-(BK112/$BL$102))),AND(BK112&gt;$BL$102,BK112&lt;($AG$55+$BL$102)),0,BK112&gt;=($AG$55+$BL$102),($AG$53*((BK112-($AG$55+$BL$102))/$BL$102)))-$AG$54)</f>
        <v>0</v>
      </c>
      <c r="BN112" s="119" cm="1">
        <f t="array" ref="BN112">IF(($AG$51=0),0,
_xlfn.IFS(BK112&lt;=$BL$102,($BL$103*(1-(BK112/$BL$102))),AND(BK112&gt;$BL$102,BK112&lt;($AG$55+$BL$102)),0,BK112&gt;=($AG$55+$BL$102),($BL$103*((BK112-($AG$55+$BL$102))/$BL$102))))</f>
        <v>0</v>
      </c>
      <c r="BO112" s="120">
        <f t="shared" si="17"/>
        <v>0</v>
      </c>
      <c r="BP112" s="121">
        <f t="shared" si="18"/>
        <v>0</v>
      </c>
      <c r="BQ112" s="121">
        <f t="shared" si="58"/>
        <v>0</v>
      </c>
      <c r="BR112" s="48">
        <f t="shared" si="19"/>
        <v>0</v>
      </c>
      <c r="BS112" s="48">
        <f t="shared" si="20"/>
        <v>979</v>
      </c>
      <c r="BU112" s="122"/>
      <c r="BW112" s="50">
        <f t="shared" si="49"/>
        <v>90</v>
      </c>
      <c r="BX112" s="50">
        <f t="shared" si="50"/>
        <v>979</v>
      </c>
      <c r="BY112" s="53">
        <f t="shared" si="51"/>
        <v>0</v>
      </c>
      <c r="BZ112" s="53">
        <f t="shared" si="52"/>
        <v>0</v>
      </c>
      <c r="CA112" s="53">
        <f t="shared" si="53"/>
        <v>979</v>
      </c>
      <c r="CC112" s="126">
        <f t="shared" si="54"/>
        <v>873.75142581633452</v>
      </c>
      <c r="CD112" s="127">
        <f t="shared" si="21"/>
        <v>10.815432994768493</v>
      </c>
    </row>
    <row r="113" spans="2:82" x14ac:dyDescent="0.35">
      <c r="B113" s="50" t="b">
        <f t="shared" si="22"/>
        <v>1</v>
      </c>
      <c r="C113" s="21">
        <f t="shared" si="23"/>
        <v>13.922222222222222</v>
      </c>
      <c r="D113" s="13">
        <f t="shared" si="24"/>
        <v>1.4588429913448486</v>
      </c>
      <c r="E113" s="143">
        <f t="shared" si="25"/>
        <v>104.72459327428342</v>
      </c>
      <c r="F113" s="52">
        <f t="shared" si="26"/>
        <v>0.31098234165322441</v>
      </c>
      <c r="G113" s="50">
        <f t="shared" si="27"/>
        <v>22.324197626706564</v>
      </c>
      <c r="H113" s="50">
        <f t="shared" si="5"/>
        <v>127.04879090098999</v>
      </c>
      <c r="I113" s="16">
        <f t="shared" si="28"/>
        <v>5.382015983487614</v>
      </c>
      <c r="J113" s="22">
        <f t="shared" si="29"/>
        <v>2.4390922681119555E-2</v>
      </c>
      <c r="K113" s="15">
        <f t="shared" si="59"/>
        <v>829.12346195594989</v>
      </c>
      <c r="L113" s="15">
        <f t="shared" si="6"/>
        <v>560.02935626879423</v>
      </c>
      <c r="M113" s="17">
        <f t="shared" si="30"/>
        <v>0.22686094841073129</v>
      </c>
      <c r="N113" s="15">
        <f t="shared" si="31"/>
        <v>319</v>
      </c>
      <c r="O113" s="17">
        <f t="shared" si="32"/>
        <v>0.56961299694241618</v>
      </c>
      <c r="P113" s="15">
        <f t="shared" si="33"/>
        <v>0</v>
      </c>
      <c r="Q113" s="7">
        <f t="shared" si="34"/>
        <v>0</v>
      </c>
      <c r="R113" s="17">
        <f t="shared" si="7"/>
        <v>0.56961299694241618</v>
      </c>
      <c r="S113" s="17">
        <f t="shared" si="35"/>
        <v>0.39505417529877257</v>
      </c>
      <c r="T113" s="162">
        <f t="shared" si="36"/>
        <v>470.02390414121436</v>
      </c>
      <c r="U113" s="162">
        <f>ABS($L113-$L114)*IF($B113,FORECAST($L113,
INDEX($Z$119:$AJ$119,MATCH($L113,$Z$105:$AJ$105,1)):INDEX($Z$119:$AJ$119,MATCH($L113,$Z$105:$AJ$105,1)+1),
INDEX($Z$105:$AJ$105,MATCH($L113,$Z$105:$AJ$105,1)):INDEX($Z$105:$AJ$105,MATCH($L113,$Z$105:$AJ$105,1)+1)),0)</f>
        <v>0</v>
      </c>
      <c r="V113" s="162">
        <f>ABS($L113-$L114)*IF($B113,FORECAST($L113,
INDEX($Z$120:$AJ$120,MATCH($L113,$Z$105:$AJ$105,1)):INDEX($Z$120:$AJ$120,MATCH($L113,$Z$105:$AJ$105,1)+1),
INDEX($Z$105:$AJ$105,MATCH($L113,$Z$105:$AJ$105,1)):INDEX($Z$105:$AJ$105,MATCH($L113,$Z$105:$AJ$105,1)+1)),0)</f>
        <v>1122.9401460209358</v>
      </c>
      <c r="W113" s="162">
        <f>ABS($L113-$L114)*IF($B113,FORECAST($L113,
INDEX($Z$121:$AJ$121,MATCH($L113,$Z$105:$AJ$105,1)):INDEX($Z$121:$AJ$121,MATCH($L113,$Z$105:$AJ$105,1)+1),
INDEX($Z$105:$AJ$105,MATCH($L113,$Z$105:$AJ$105,1)):INDEX($Z$105:$AJ$105,MATCH($L113,$Z$105:$AJ$105,1)+1)),0)</f>
        <v>1279.8867562070423</v>
      </c>
      <c r="X113" s="162">
        <f>ABS($L113-$L114)*IF($B113,FORECAST($L113,
INDEX($Z$122:$AJ$122,MATCH($L113,$Z$105:$AJ$105,1)):INDEX($Z$122:$AJ$122,MATCH($L113,$Z$105:$AJ$105,1)+1),
INDEX($Z$105:$AJ$105,MATCH($L113,$Z$105:$AJ$105,1)):INDEX($Z$105:$AJ$105,MATCH($L113,$Z$105:$AJ$105,1)+1)),0)</f>
        <v>998.66339185592346</v>
      </c>
      <c r="Y113" s="2" t="s">
        <v>295</v>
      </c>
      <c r="Z113" t="e" cm="1">
        <f t="array" ref="Z113">_xlfn.IFS(
AND($L$101&lt;Z105,$L$102&gt;AA105),1,
AND($L$101&lt;Z105,$L$102&lt;AA105,$L$102&gt;Z105),($L$102-Z105)/(AA105-Z105),
AND($L$101&gt;Z105,$L$102&gt;AA105,$L$101&lt;AA105),(AA105-$L101)/(AA105-Z105),
AND($L$101&gt;Z105,$L$102&lt;AA105),($L$102-$L$101)/(AA105-Z105))</f>
        <v>#N/A</v>
      </c>
      <c r="AA113" cm="1">
        <f t="array" ref="AA113">_xlfn.IFS(
AND($L$101&lt;AA105,$L$102&gt;AB105),1,
AND($L$101&lt;AA105,$L$102&lt;AB105,$L$102&gt;AA105),($L$102-AA105)/(AB105-AA105),
AND($L$101&gt;AA105,$L$102&gt;AB105,$L$101&lt;AB105),(AB105-$L101)/(AB105-AA105),
AND($L$101&gt;AA105,$L$102&lt;AB105),($L$102-$L$101)/(AB105-AA105))</f>
        <v>0.62412716591949502</v>
      </c>
      <c r="AB113" cm="1">
        <f t="array" ref="AB113">_xlfn.IFS(
AND($L$101&lt;AB105,$L$102&gt;AC105),1,
AND($L$101&lt;AB105,$L$102&lt;AC105,$L$102&gt;AB105),($L$102-AB105)/(AC105-AB105),
AND($L$101&gt;AB105,$L$102&gt;AC105,$L$101&lt;AC105),(AC105-$L101)/(AC105-AB105),
AND($L$101&gt;AB105,$L$102&lt;AC105),($L$102-$L$101)/(AC105-AB105))</f>
        <v>1</v>
      </c>
      <c r="AC113" cm="1">
        <f t="array" ref="AC113">_xlfn.IFS(
AND($L$101&lt;AC105,$L$102&gt;AD105),1,
AND($L$101&lt;AC105,$L$102&lt;AD105,$L$102&gt;AC105),($L$102-AC105)/(AD105-AC105),
AND($L$101&gt;AC105,$L$102&gt;AD105,$L$101&lt;AD105),(AD105-$L101)/(AD105-AC105),
AND($L$101&gt;AC105,$L$102&lt;AD105),($L$102-$L$101)/(AD105-AC105))</f>
        <v>1</v>
      </c>
      <c r="AD113" cm="1">
        <f t="array" ref="AD113">_xlfn.IFS(
AND($L$101&lt;AD105,$L$102&gt;AE105),1,
AND($L$101&lt;AD105,$L$102&lt;AE105,$L$102&gt;AD105),($L$102-AD105)/(AE105-AD105),
AND($L$101&gt;AD105,$L$102&gt;AE105,$L$101&lt;AE105),(AE105-$L101)/(AE105-AD105),
AND($L$101&gt;AD105,$L$102&lt;AE105),($L$102-$L$101)/(AE105-AD105))</f>
        <v>0.83851608870194583</v>
      </c>
      <c r="AE113" t="e" cm="1">
        <f t="array" ref="AE113">_xlfn.IFS(
AND($L$101&lt;AE105,$L$102&gt;AF105),1,
AND($L$101&lt;AE105,$L$102&lt;AF105,$L$102&gt;AE105),($L$102-AE105)/(AF105-AE105),
AND($L$101&gt;AE105,$L$102&gt;AF105,$L$101&lt;AF105),(AF105-$L101)/(AF105-AE105),
AND($L$101&gt;AE105,$L$102&lt;AF105),($L$102-$L$101)/(AF105-AE105))</f>
        <v>#N/A</v>
      </c>
      <c r="AF113" t="e" cm="1">
        <f t="array" ref="AF113">_xlfn.IFS(
AND($L$101&lt;AF105,$L$102&gt;AG105),1,
AND($L$101&lt;AF105,$L$102&lt;AG105,$L$102&gt;AF105),($L$102-AF105)/(AG105-AF105),
AND($L$101&gt;AF105,$L$102&gt;AG105,$L$101&lt;AG105),(AG105-$L101)/(AG105-AF105),
AND($L$101&gt;AF105,$L$102&lt;AG105),($L$102-$L$101)/(AG105-AF105))</f>
        <v>#N/A</v>
      </c>
      <c r="AG113" t="e" cm="1">
        <f t="array" ref="AG113">_xlfn.IFS(
AND($L$101&lt;AG105,$L$102&gt;AH105),1,
AND($L$101&lt;AG105,$L$102&lt;AH105,$L$102&gt;AG105),($L$102-AG105)/(AH105-AG105),
AND($L$101&gt;AG105,$L$102&gt;AH105,$L$101&lt;AH105),(AH105-$L101)/(AH105-AG105),
AND($L$101&gt;AG105,$L$102&lt;AH105),($L$102-$L$101)/(AH105-AG105))</f>
        <v>#N/A</v>
      </c>
      <c r="AH113" t="e" cm="1">
        <f t="array" ref="AH113">_xlfn.IFS(
AND($L$101&lt;AH105,$L$102&gt;AI105),1,
AND($L$101&lt;AH105,$L$102&lt;AI105,$L$102&gt;AH105),($L$102-AH105)/(AI105-AH105),
AND($L$101&gt;AH105,$L$102&gt;AI105,$L$101&lt;AI105),(AI105-$L101)/(AI105-AH105),
AND($L$101&gt;AH105,$L$102&lt;AI105),($L$102-$L$101)/(AI105-AH105))</f>
        <v>#N/A</v>
      </c>
      <c r="AI113" t="e" cm="1">
        <f t="array" ref="AI113">_xlfn.IFS(
AND($L$101&lt;AI105,$L$102&gt;AJ105),1,
AND($L$101&lt;AI105,$L$102&lt;AJ105,$L$102&gt;AI105),($L$102-AI105)/(AJ105-AI105),
AND($L$101&gt;AI105,$L$102&gt;AJ105,$L$101&lt;AJ105),(AJ105-$L101)/(AJ105-AI105),
AND($L$101&gt;AI105,$L$102&lt;AJ105),($L$102-$L$101)/(AJ105-AI105))</f>
        <v>#N/A</v>
      </c>
      <c r="AM113" s="44">
        <f t="shared" si="38"/>
        <v>105</v>
      </c>
      <c r="AN113" s="45">
        <f t="shared" si="55"/>
        <v>979</v>
      </c>
      <c r="AO113" s="54">
        <f t="shared" si="9"/>
        <v>0</v>
      </c>
      <c r="AP113" s="54">
        <f t="shared" si="10"/>
        <v>0</v>
      </c>
      <c r="AQ113" s="54">
        <f t="shared" si="39"/>
        <v>0</v>
      </c>
      <c r="AR113" s="46">
        <f t="shared" si="11"/>
        <v>0</v>
      </c>
      <c r="AS113" s="47">
        <f t="shared" si="40"/>
        <v>0</v>
      </c>
      <c r="AT113" s="47">
        <f t="shared" si="56"/>
        <v>0</v>
      </c>
      <c r="AU113" s="48">
        <f t="shared" si="41"/>
        <v>0</v>
      </c>
      <c r="AV113" s="48">
        <f t="shared" si="12"/>
        <v>873.75142581633452</v>
      </c>
      <c r="AW113" s="140">
        <f t="shared" si="42"/>
        <v>-197.39209979505577</v>
      </c>
      <c r="AX113" s="53"/>
      <c r="AZ113" s="50">
        <f t="shared" si="43"/>
        <v>127.04879090098999</v>
      </c>
      <c r="BA113" s="50">
        <f t="shared" si="44"/>
        <v>127.04879090098999</v>
      </c>
      <c r="BB113" s="50">
        <f t="shared" si="13"/>
        <v>560.02935626879423</v>
      </c>
      <c r="BD113" s="50">
        <f t="shared" si="14"/>
        <v>105</v>
      </c>
      <c r="BE113" s="50">
        <f t="shared" si="15"/>
        <v>979</v>
      </c>
      <c r="BF113" s="53">
        <f t="shared" si="16"/>
        <v>0</v>
      </c>
      <c r="BG113" s="53">
        <f t="shared" si="45"/>
        <v>0</v>
      </c>
      <c r="BH113" s="53">
        <f t="shared" si="46"/>
        <v>873.75142581633452</v>
      </c>
      <c r="BI113" s="127">
        <f t="shared" si="47"/>
        <v>-197.39209979505577</v>
      </c>
      <c r="BK113" s="44">
        <f t="shared" si="48"/>
        <v>105</v>
      </c>
      <c r="BL113" s="45">
        <f t="shared" si="57"/>
        <v>979</v>
      </c>
      <c r="BM113" s="119" cm="1">
        <f t="array" ref="BM113">IF(($AG$51=0),0,
_xlfn.IFS(BK113&lt;=$BL$102,($AG$53*(1-(BK113/$BL$102))),AND(BK113&gt;$BL$102,BK113&lt;($AG$55+$BL$102)),0,BK113&gt;=($AG$55+$BL$102),($AG$53*((BK113-($AG$55+$BL$102))/$BL$102)))-$AG$54)</f>
        <v>0</v>
      </c>
      <c r="BN113" s="119" cm="1">
        <f t="array" ref="BN113">IF(($AG$51=0),0,
_xlfn.IFS(BK113&lt;=$BL$102,($BL$103*(1-(BK113/$BL$102))),AND(BK113&gt;$BL$102,BK113&lt;($AG$55+$BL$102)),0,BK113&gt;=($AG$55+$BL$102),($BL$103*((BK113-($AG$55+$BL$102))/$BL$102))))</f>
        <v>0</v>
      </c>
      <c r="BO113" s="120">
        <f t="shared" si="17"/>
        <v>0</v>
      </c>
      <c r="BP113" s="121">
        <f t="shared" si="18"/>
        <v>0</v>
      </c>
      <c r="BQ113" s="121">
        <f t="shared" si="58"/>
        <v>0</v>
      </c>
      <c r="BR113" s="48">
        <f t="shared" si="19"/>
        <v>0</v>
      </c>
      <c r="BS113" s="48">
        <f t="shared" si="20"/>
        <v>979</v>
      </c>
      <c r="BU113" s="122"/>
      <c r="BW113" s="50">
        <f t="shared" si="49"/>
        <v>105</v>
      </c>
      <c r="BX113" s="50">
        <f t="shared" si="50"/>
        <v>979</v>
      </c>
      <c r="BY113" s="53">
        <f t="shared" si="51"/>
        <v>0</v>
      </c>
      <c r="BZ113" s="53">
        <f t="shared" si="52"/>
        <v>0</v>
      </c>
      <c r="CA113" s="53">
        <f t="shared" si="53"/>
        <v>979</v>
      </c>
      <c r="CC113" s="126">
        <f t="shared" si="54"/>
        <v>873.75142581633452</v>
      </c>
      <c r="CD113" s="127">
        <f t="shared" si="21"/>
        <v>10.815432994768493</v>
      </c>
    </row>
    <row r="114" spans="2:82" x14ac:dyDescent="0.35">
      <c r="B114" s="50" t="b">
        <f t="shared" si="22"/>
        <v>1</v>
      </c>
      <c r="C114" s="21">
        <f t="shared" si="23"/>
        <v>15.911111111111111</v>
      </c>
      <c r="D114" s="13">
        <f t="shared" si="24"/>
        <v>1.4832339140259683</v>
      </c>
      <c r="E114" s="143">
        <f t="shared" si="25"/>
        <v>106.47552155958849</v>
      </c>
      <c r="F114" s="52">
        <f t="shared" si="26"/>
        <v>0.34985513435987747</v>
      </c>
      <c r="G114" s="50">
        <f t="shared" si="27"/>
        <v>25.114722330044884</v>
      </c>
      <c r="H114" s="50">
        <f t="shared" si="5"/>
        <v>131.59024388963337</v>
      </c>
      <c r="I114" s="16">
        <f t="shared" si="28"/>
        <v>5.4719998518686666</v>
      </c>
      <c r="J114" s="22">
        <f t="shared" si="29"/>
        <v>2.4798723323660208E-2</v>
      </c>
      <c r="K114" s="15">
        <f t="shared" si="59"/>
        <v>823.74244597246229</v>
      </c>
      <c r="L114" s="15">
        <f t="shared" si="6"/>
        <v>556.39476256160913</v>
      </c>
      <c r="M114" s="17">
        <f t="shared" si="30"/>
        <v>0.23650518075295954</v>
      </c>
      <c r="N114" s="15">
        <f t="shared" si="31"/>
        <v>319</v>
      </c>
      <c r="O114" s="17">
        <f t="shared" si="32"/>
        <v>0.57333393745717975</v>
      </c>
      <c r="P114" s="15">
        <f t="shared" si="33"/>
        <v>0</v>
      </c>
      <c r="Q114" s="7">
        <f t="shared" si="34"/>
        <v>0</v>
      </c>
      <c r="R114" s="17">
        <f t="shared" si="7"/>
        <v>0.57333393745717975</v>
      </c>
      <c r="S114" s="17">
        <f t="shared" si="35"/>
        <v>0.39763482759126983</v>
      </c>
      <c r="T114" s="162">
        <f t="shared" si="36"/>
        <v>494.7203169649178</v>
      </c>
      <c r="U114" s="162">
        <f>ABS($L114-$L115)*IF($B114,FORECAST($L114,
INDEX($Z$119:$AJ$119,MATCH($L114,$Z$105:$AJ$105,1)):INDEX($Z$119:$AJ$119,MATCH($L114,$Z$105:$AJ$105,1)+1),
INDEX($Z$105:$AJ$105,MATCH($L114,$Z$105:$AJ$105,1)):INDEX($Z$105:$AJ$105,MATCH($L114,$Z$105:$AJ$105,1)+1)),0)</f>
        <v>0</v>
      </c>
      <c r="V114" s="162">
        <f>ABS($L114-$L115)*IF($B114,FORECAST($L114,
INDEX($Z$120:$AJ$120,MATCH($L114,$Z$105:$AJ$105,1)):INDEX($Z$120:$AJ$120,MATCH($L114,$Z$105:$AJ$105,1)+1),
INDEX($Z$105:$AJ$105,MATCH($L114,$Z$105:$AJ$105,1)):INDEX($Z$105:$AJ$105,MATCH($L114,$Z$105:$AJ$105,1)+1)),0)</f>
        <v>1143.015264612279</v>
      </c>
      <c r="W114" s="162">
        <f>ABS($L114-$L115)*IF($B114,FORECAST($L114,
INDEX($Z$121:$AJ$121,MATCH($L114,$Z$105:$AJ$105,1)):INDEX($Z$121:$AJ$121,MATCH($L114,$Z$105:$AJ$105,1)+1),
INDEX($Z$105:$AJ$105,MATCH($L114,$Z$105:$AJ$105,1)):INDEX($Z$105:$AJ$105,MATCH($L114,$Z$105:$AJ$105,1)+1)),0)</f>
        <v>1300.7881971152258</v>
      </c>
      <c r="X114" s="162">
        <f>ABS($L114-$L115)*IF($B114,FORECAST($L114,
INDEX($Z$122:$AJ$122,MATCH($L114,$Z$105:$AJ$105,1)):INDEX($Z$122:$AJ$122,MATCH($L114,$Z$105:$AJ$105,1)+1),
INDEX($Z$105:$AJ$105,MATCH($L114,$Z$105:$AJ$105,1)):INDEX($Z$105:$AJ$105,MATCH($L114,$Z$105:$AJ$105,1)+1)),0)</f>
        <v>1017.1098494775449</v>
      </c>
      <c r="Y114" t="s">
        <v>115</v>
      </c>
      <c r="Z114" s="1">
        <f t="shared" ref="Z114:AI114" si="60">IF(ISERROR(OR(Z108,AA108,Z$113)),0,(AA$105-Z$105)*AVERAGE(Z108:AA108)*Z$113)</f>
        <v>0</v>
      </c>
      <c r="AA114" s="1">
        <f t="shared" si="60"/>
        <v>0</v>
      </c>
      <c r="AB114" s="1">
        <f t="shared" si="60"/>
        <v>0</v>
      </c>
      <c r="AC114" s="1">
        <f t="shared" si="60"/>
        <v>0</v>
      </c>
      <c r="AD114" s="1">
        <f t="shared" si="60"/>
        <v>0</v>
      </c>
      <c r="AE114" s="1">
        <f t="shared" si="60"/>
        <v>0</v>
      </c>
      <c r="AF114" s="1">
        <f t="shared" si="60"/>
        <v>0</v>
      </c>
      <c r="AG114" s="1">
        <f t="shared" si="60"/>
        <v>0</v>
      </c>
      <c r="AH114" s="1">
        <f t="shared" si="60"/>
        <v>0</v>
      </c>
      <c r="AI114" s="1">
        <f t="shared" si="60"/>
        <v>0</v>
      </c>
      <c r="AK114" s="30"/>
      <c r="AM114" s="44">
        <f t="shared" si="38"/>
        <v>120</v>
      </c>
      <c r="AN114" s="45">
        <f t="shared" si="55"/>
        <v>979</v>
      </c>
      <c r="AO114" s="54">
        <f t="shared" si="9"/>
        <v>0</v>
      </c>
      <c r="AP114" s="54">
        <f t="shared" si="10"/>
        <v>0</v>
      </c>
      <c r="AQ114" s="54">
        <f t="shared" si="39"/>
        <v>0</v>
      </c>
      <c r="AR114" s="46">
        <f t="shared" si="11"/>
        <v>0</v>
      </c>
      <c r="AS114" s="47">
        <f t="shared" si="40"/>
        <v>0</v>
      </c>
      <c r="AT114" s="47">
        <f t="shared" si="56"/>
        <v>0</v>
      </c>
      <c r="AU114" s="48">
        <f t="shared" si="41"/>
        <v>0</v>
      </c>
      <c r="AV114" s="48">
        <f t="shared" si="12"/>
        <v>873.75142581633452</v>
      </c>
      <c r="AW114" s="140">
        <f t="shared" si="42"/>
        <v>-197.39209979505577</v>
      </c>
      <c r="AX114" s="53"/>
      <c r="AZ114" s="50">
        <f t="shared" si="43"/>
        <v>131.59024388963337</v>
      </c>
      <c r="BA114" s="50">
        <f t="shared" si="44"/>
        <v>131.59024388963337</v>
      </c>
      <c r="BB114" s="50">
        <f t="shared" si="13"/>
        <v>556.39476256160913</v>
      </c>
      <c r="BD114" s="50">
        <f t="shared" si="14"/>
        <v>120</v>
      </c>
      <c r="BE114" s="50">
        <f t="shared" si="15"/>
        <v>979</v>
      </c>
      <c r="BF114" s="53">
        <f t="shared" si="16"/>
        <v>0</v>
      </c>
      <c r="BG114" s="53">
        <f t="shared" si="45"/>
        <v>0</v>
      </c>
      <c r="BH114" s="53">
        <f t="shared" si="46"/>
        <v>873.75142581633452</v>
      </c>
      <c r="BI114" s="127">
        <f t="shared" si="47"/>
        <v>-197.39209979505577</v>
      </c>
      <c r="BK114" s="44">
        <f t="shared" si="48"/>
        <v>120</v>
      </c>
      <c r="BL114" s="45">
        <f t="shared" si="57"/>
        <v>979</v>
      </c>
      <c r="BM114" s="119" cm="1">
        <f t="array" ref="BM114">IF(($AG$51=0),0,
_xlfn.IFS(BK114&lt;=$BL$102,($AG$53*(1-(BK114/$BL$102))),AND(BK114&gt;$BL$102,BK114&lt;($AG$55+$BL$102)),0,BK114&gt;=($AG$55+$BL$102),($AG$53*((BK114-($AG$55+$BL$102))/$BL$102)))-$AG$54)</f>
        <v>0</v>
      </c>
      <c r="BN114" s="119" cm="1">
        <f t="array" ref="BN114">IF(($AG$51=0),0,
_xlfn.IFS(BK114&lt;=$BL$102,($BL$103*(1-(BK114/$BL$102))),AND(BK114&gt;$BL$102,BK114&lt;($AG$55+$BL$102)),0,BK114&gt;=($AG$55+$BL$102),($BL$103*((BK114-($AG$55+$BL$102))/$BL$102))))</f>
        <v>0</v>
      </c>
      <c r="BO114" s="120">
        <f t="shared" si="17"/>
        <v>0</v>
      </c>
      <c r="BP114" s="121">
        <f t="shared" si="18"/>
        <v>0</v>
      </c>
      <c r="BQ114" s="121">
        <f t="shared" si="58"/>
        <v>0</v>
      </c>
      <c r="BR114" s="48">
        <f t="shared" si="19"/>
        <v>0</v>
      </c>
      <c r="BS114" s="48">
        <f t="shared" si="20"/>
        <v>979</v>
      </c>
      <c r="BU114" s="122"/>
      <c r="BW114" s="50">
        <f t="shared" si="49"/>
        <v>120</v>
      </c>
      <c r="BX114" s="50">
        <f t="shared" si="50"/>
        <v>979</v>
      </c>
      <c r="BY114" s="53">
        <f t="shared" si="51"/>
        <v>0</v>
      </c>
      <c r="BZ114" s="53">
        <f t="shared" si="52"/>
        <v>0</v>
      </c>
      <c r="CA114" s="53">
        <f t="shared" si="53"/>
        <v>979</v>
      </c>
      <c r="CC114" s="126">
        <f t="shared" si="54"/>
        <v>873.75142581633452</v>
      </c>
      <c r="CD114" s="127">
        <f t="shared" si="21"/>
        <v>10.815432994768493</v>
      </c>
    </row>
    <row r="115" spans="2:82" x14ac:dyDescent="0.35">
      <c r="B115" s="50" t="b">
        <f t="shared" si="22"/>
        <v>1</v>
      </c>
      <c r="C115" s="21">
        <f t="shared" si="23"/>
        <v>17.899999999999999</v>
      </c>
      <c r="D115" s="13">
        <f t="shared" si="24"/>
        <v>1.5080326373496284</v>
      </c>
      <c r="E115" s="143">
        <f t="shared" si="25"/>
        <v>108.25572424706048</v>
      </c>
      <c r="F115" s="52">
        <f t="shared" si="26"/>
        <v>0.38872792706653053</v>
      </c>
      <c r="G115" s="50">
        <f t="shared" si="27"/>
        <v>27.905247033383205</v>
      </c>
      <c r="H115" s="50">
        <f t="shared" si="5"/>
        <v>136.16097128044368</v>
      </c>
      <c r="I115" s="16">
        <f t="shared" si="28"/>
        <v>5.5634881930334608</v>
      </c>
      <c r="J115" s="22">
        <f t="shared" si="29"/>
        <v>2.5213342132378112E-2</v>
      </c>
      <c r="K115" s="15">
        <f t="shared" si="59"/>
        <v>818.27144612059362</v>
      </c>
      <c r="L115" s="15">
        <f t="shared" si="6"/>
        <v>552.69938947692924</v>
      </c>
      <c r="M115" s="17">
        <f t="shared" si="30"/>
        <v>0.24635629036845047</v>
      </c>
      <c r="N115" s="15">
        <f t="shared" si="31"/>
        <v>319</v>
      </c>
      <c r="O115" s="17">
        <f t="shared" si="32"/>
        <v>0.57716727406176316</v>
      </c>
      <c r="P115" s="15">
        <f t="shared" si="33"/>
        <v>0</v>
      </c>
      <c r="Q115" s="7">
        <f t="shared" si="34"/>
        <v>0</v>
      </c>
      <c r="R115" s="17">
        <f t="shared" si="7"/>
        <v>0.57716727406176316</v>
      </c>
      <c r="S115" s="17">
        <f t="shared" si="35"/>
        <v>0.40029343201057771</v>
      </c>
      <c r="T115" s="162">
        <f t="shared" si="36"/>
        <v>520.22214401087695</v>
      </c>
      <c r="U115" s="162">
        <f>ABS($L115-$L116)*IF($B115,FORECAST($L115,
INDEX($Z$119:$AJ$119,MATCH($L115,$Z$105:$AJ$105,1)):INDEX($Z$119:$AJ$119,MATCH($L115,$Z$105:$AJ$105,1)+1),
INDEX($Z$105:$AJ$105,MATCH($L115,$Z$105:$AJ$105,1)):INDEX($Z$105:$AJ$105,MATCH($L115,$Z$105:$AJ$105,1)+1)),0)</f>
        <v>0</v>
      </c>
      <c r="V115" s="162">
        <f>ABS($L115-$L116)*IF($B115,FORECAST($L115,
INDEX($Z$120:$AJ$120,MATCH($L115,$Z$105:$AJ$105,1)):INDEX($Z$120:$AJ$120,MATCH($L115,$Z$105:$AJ$105,1)+1),
INDEX($Z$105:$AJ$105,MATCH($L115,$Z$105:$AJ$105,1)):INDEX($Z$105:$AJ$105,MATCH($L115,$Z$105:$AJ$105,1)+1)),0)</f>
        <v>1163.4697638742891</v>
      </c>
      <c r="W115" s="162">
        <f>ABS($L115-$L116)*IF($B115,FORECAST($L115,
INDEX($Z$121:$AJ$121,MATCH($L115,$Z$105:$AJ$105,1)):INDEX($Z$121:$AJ$121,MATCH($L115,$Z$105:$AJ$105,1)+1),
INDEX($Z$105:$AJ$105,MATCH($L115,$Z$105:$AJ$105,1)):INDEX($Z$105:$AJ$105,MATCH($L115,$Z$105:$AJ$105,1)+1)),0)</f>
        <v>1322.022184921289</v>
      </c>
      <c r="X115" s="162">
        <f>ABS($L115-$L116)*IF($B115,FORECAST($L115,
INDEX($Z$122:$AJ$122,MATCH($L115,$Z$105:$AJ$105,1)):INDEX($Z$122:$AJ$122,MATCH($L115,$Z$105:$AJ$105,1)+1),
INDEX($Z$105:$AJ$105,MATCH($L115,$Z$105:$AJ$105,1)):INDEX($Z$105:$AJ$105,MATCH($L115,$Z$105:$AJ$105,1)+1)),0)</f>
        <v>1035.9236199375428</v>
      </c>
      <c r="Y115" t="s">
        <v>116</v>
      </c>
      <c r="Z115" s="1">
        <f t="shared" ref="Z115:AI115" si="61">IF(ISERROR(OR(Z109,AA109,Z$113)),0,(AA$105-Z$105)*AVERAGE(Z109:AA109)*Z$113)</f>
        <v>0</v>
      </c>
      <c r="AA115" s="1">
        <f t="shared" si="61"/>
        <v>21577.032888236321</v>
      </c>
      <c r="AB115" s="1">
        <f t="shared" si="61"/>
        <v>33213.388582585183</v>
      </c>
      <c r="AC115" s="1">
        <f t="shared" si="61"/>
        <v>31945.358049490358</v>
      </c>
      <c r="AD115" s="1">
        <f t="shared" si="61"/>
        <v>25987.899361817173</v>
      </c>
      <c r="AE115" s="1">
        <f t="shared" si="61"/>
        <v>0</v>
      </c>
      <c r="AF115" s="1">
        <f t="shared" si="61"/>
        <v>0</v>
      </c>
      <c r="AG115" s="1">
        <f t="shared" si="61"/>
        <v>0</v>
      </c>
      <c r="AH115" s="1">
        <f t="shared" si="61"/>
        <v>0</v>
      </c>
      <c r="AI115" s="1">
        <f t="shared" si="61"/>
        <v>0</v>
      </c>
      <c r="AK115" s="30"/>
      <c r="AM115" s="44">
        <f t="shared" si="38"/>
        <v>135</v>
      </c>
      <c r="AN115" s="45">
        <f t="shared" si="55"/>
        <v>979</v>
      </c>
      <c r="AO115" s="54">
        <f t="shared" si="9"/>
        <v>0</v>
      </c>
      <c r="AP115" s="54">
        <f t="shared" si="10"/>
        <v>0</v>
      </c>
      <c r="AQ115" s="54">
        <f t="shared" si="39"/>
        <v>0</v>
      </c>
      <c r="AR115" s="46">
        <f t="shared" si="11"/>
        <v>0</v>
      </c>
      <c r="AS115" s="47">
        <f t="shared" si="40"/>
        <v>0</v>
      </c>
      <c r="AT115" s="47">
        <f t="shared" si="56"/>
        <v>0</v>
      </c>
      <c r="AU115" s="48">
        <f t="shared" si="41"/>
        <v>0</v>
      </c>
      <c r="AV115" s="48">
        <f t="shared" si="12"/>
        <v>873.75142581633452</v>
      </c>
      <c r="AW115" s="140">
        <f t="shared" si="42"/>
        <v>-197.39209979505577</v>
      </c>
      <c r="AX115" s="53"/>
      <c r="AZ115" s="50">
        <f t="shared" si="43"/>
        <v>136.16097128044368</v>
      </c>
      <c r="BA115" s="50">
        <f t="shared" si="44"/>
        <v>136.16097128044368</v>
      </c>
      <c r="BB115" s="50">
        <f t="shared" si="13"/>
        <v>552.69938947692924</v>
      </c>
      <c r="BD115" s="50">
        <f t="shared" si="14"/>
        <v>135</v>
      </c>
      <c r="BE115" s="50">
        <f t="shared" si="15"/>
        <v>979</v>
      </c>
      <c r="BF115" s="53">
        <f t="shared" si="16"/>
        <v>0</v>
      </c>
      <c r="BG115" s="53">
        <f t="shared" si="45"/>
        <v>0</v>
      </c>
      <c r="BH115" s="53">
        <f t="shared" si="46"/>
        <v>873.75142581633452</v>
      </c>
      <c r="BI115" s="127">
        <f t="shared" si="47"/>
        <v>-197.39209979505577</v>
      </c>
      <c r="BK115" s="44">
        <f t="shared" si="48"/>
        <v>135</v>
      </c>
      <c r="BL115" s="45">
        <f t="shared" si="57"/>
        <v>979</v>
      </c>
      <c r="BM115" s="119" cm="1">
        <f t="array" ref="BM115">IF(($AG$51=0),0,
_xlfn.IFS(BK115&lt;=$BL$102,($AG$53*(1-(BK115/$BL$102))),AND(BK115&gt;$BL$102,BK115&lt;($AG$55+$BL$102)),0,BK115&gt;=($AG$55+$BL$102),($AG$53*((BK115-($AG$55+$BL$102))/$BL$102)))-$AG$54)</f>
        <v>0</v>
      </c>
      <c r="BN115" s="119" cm="1">
        <f t="array" ref="BN115">IF(($AG$51=0),0,
_xlfn.IFS(BK115&lt;=$BL$102,($BL$103*(1-(BK115/$BL$102))),AND(BK115&gt;$BL$102,BK115&lt;($AG$55+$BL$102)),0,BK115&gt;=($AG$55+$BL$102),($BL$103*((BK115-($AG$55+$BL$102))/$BL$102))))</f>
        <v>0</v>
      </c>
      <c r="BO115" s="120">
        <f t="shared" si="17"/>
        <v>0</v>
      </c>
      <c r="BP115" s="121">
        <f t="shared" si="18"/>
        <v>0</v>
      </c>
      <c r="BQ115" s="121">
        <f t="shared" si="58"/>
        <v>0</v>
      </c>
      <c r="BR115" s="48">
        <f t="shared" si="19"/>
        <v>0</v>
      </c>
      <c r="BS115" s="48">
        <f t="shared" si="20"/>
        <v>979</v>
      </c>
      <c r="BU115" s="122"/>
      <c r="BW115" s="50">
        <f t="shared" si="49"/>
        <v>135</v>
      </c>
      <c r="BX115" s="50">
        <f t="shared" si="50"/>
        <v>979</v>
      </c>
      <c r="BY115" s="53">
        <f t="shared" si="51"/>
        <v>0</v>
      </c>
      <c r="BZ115" s="53">
        <f t="shared" si="52"/>
        <v>0</v>
      </c>
      <c r="CA115" s="53">
        <f t="shared" si="53"/>
        <v>979</v>
      </c>
      <c r="CC115" s="126">
        <f t="shared" si="54"/>
        <v>873.75142581633452</v>
      </c>
      <c r="CD115" s="127">
        <f t="shared" si="21"/>
        <v>10.815432994768493</v>
      </c>
    </row>
    <row r="116" spans="2:82" x14ac:dyDescent="0.35">
      <c r="B116" s="50" t="b">
        <f t="shared" si="22"/>
        <v>1</v>
      </c>
      <c r="C116" s="21">
        <f t="shared" si="23"/>
        <v>19.888888888888886</v>
      </c>
      <c r="D116" s="13">
        <f t="shared" si="24"/>
        <v>1.5332459794820066</v>
      </c>
      <c r="E116" s="143">
        <f t="shared" si="25"/>
        <v>110.06569078599867</v>
      </c>
      <c r="F116" s="52">
        <f t="shared" si="26"/>
        <v>0.42760071977318359</v>
      </c>
      <c r="G116" s="50">
        <f t="shared" si="27"/>
        <v>30.695771736721525</v>
      </c>
      <c r="H116" s="50">
        <f t="shared" si="5"/>
        <v>140.76146252272019</v>
      </c>
      <c r="I116" s="16">
        <f t="shared" si="28"/>
        <v>5.6565061608056508</v>
      </c>
      <c r="J116" s="22">
        <f t="shared" si="29"/>
        <v>2.5634893102655269E-2</v>
      </c>
      <c r="K116" s="15">
        <f t="shared" si="59"/>
        <v>812.70895792756016</v>
      </c>
      <c r="L116" s="15">
        <f t="shared" si="6"/>
        <v>548.94222082239799</v>
      </c>
      <c r="M116" s="17">
        <f t="shared" si="30"/>
        <v>0.25642309369433886</v>
      </c>
      <c r="N116" s="15">
        <f t="shared" si="31"/>
        <v>319</v>
      </c>
      <c r="O116" s="17">
        <f t="shared" si="32"/>
        <v>0.58111762568033121</v>
      </c>
      <c r="P116" s="15">
        <f t="shared" si="33"/>
        <v>0</v>
      </c>
      <c r="Q116" s="7">
        <f t="shared" si="34"/>
        <v>0</v>
      </c>
      <c r="R116" s="17">
        <f t="shared" si="7"/>
        <v>0.58111762568033121</v>
      </c>
      <c r="S116" s="17">
        <f t="shared" si="35"/>
        <v>0.4030331920041007</v>
      </c>
      <c r="T116" s="162">
        <f t="shared" si="36"/>
        <v>546.55315352091293</v>
      </c>
      <c r="U116" s="162">
        <f>ABS($L116-$L117)*IF($B116,FORECAST($L116,
INDEX($Z$119:$AJ$119,MATCH($L116,$Z$105:$AJ$105,1)):INDEX($Z$119:$AJ$119,MATCH($L116,$Z$105:$AJ$105,1)+1),
INDEX($Z$105:$AJ$105,MATCH($L116,$Z$105:$AJ$105,1)):INDEX($Z$105:$AJ$105,MATCH($L116,$Z$105:$AJ$105,1)+1)),0)</f>
        <v>0</v>
      </c>
      <c r="V116" s="162">
        <f>ABS($L116-$L117)*IF($B116,FORECAST($L116,
INDEX($Z$120:$AJ$120,MATCH($L116,$Z$105:$AJ$105,1)):INDEX($Z$120:$AJ$120,MATCH($L116,$Z$105:$AJ$105,1)+1),
INDEX($Z$105:$AJ$105,MATCH($L116,$Z$105:$AJ$105,1)):INDEX($Z$105:$AJ$105,MATCH($L116,$Z$105:$AJ$105,1)+1)),0)</f>
        <v>1184.3114616306989</v>
      </c>
      <c r="W116" s="162">
        <f>ABS($L116-$L117)*IF($B116,FORECAST($L116,
INDEX($Z$121:$AJ$121,MATCH($L116,$Z$105:$AJ$105,1)):INDEX($Z$121:$AJ$121,MATCH($L116,$Z$105:$AJ$105,1)+1),
INDEX($Z$105:$AJ$105,MATCH($L116,$Z$105:$AJ$105,1)):INDEX($Z$105:$AJ$105,MATCH($L116,$Z$105:$AJ$105,1)+1)),0)</f>
        <v>1343.5937093325376</v>
      </c>
      <c r="X116" s="162">
        <f>ABS($L116-$L117)*IF($B116,FORECAST($L116,
INDEX($Z$122:$AJ$122,MATCH($L116,$Z$105:$AJ$105,1)):INDEX($Z$122:$AJ$122,MATCH($L116,$Z$105:$AJ$105,1)+1),
INDEX($Z$105:$AJ$105,MATCH($L116,$Z$105:$AJ$105,1)):INDEX($Z$105:$AJ$105,MATCH($L116,$Z$105:$AJ$105,1)+1)),0)</f>
        <v>1055.1128305646259</v>
      </c>
      <c r="Y116" t="s">
        <v>117</v>
      </c>
      <c r="Z116" s="1">
        <f t="shared" ref="Z116:AI116" si="62">IF(ISERROR(OR(Z110,AA110,Z$113)),0,(AA$105-Z$105)*AVERAGE(Z110:AA110)*Z$113)</f>
        <v>0</v>
      </c>
      <c r="AA116" s="1">
        <f t="shared" si="62"/>
        <v>22115.353947075204</v>
      </c>
      <c r="AB116" s="1">
        <f t="shared" si="62"/>
        <v>35376.120862381424</v>
      </c>
      <c r="AC116" s="1">
        <f t="shared" si="62"/>
        <v>35324.627236671993</v>
      </c>
      <c r="AD116" s="1">
        <f t="shared" si="62"/>
        <v>29496.130843682422</v>
      </c>
      <c r="AE116" s="1">
        <f t="shared" si="62"/>
        <v>0</v>
      </c>
      <c r="AF116" s="1">
        <f t="shared" si="62"/>
        <v>0</v>
      </c>
      <c r="AG116" s="1">
        <f t="shared" si="62"/>
        <v>0</v>
      </c>
      <c r="AH116" s="1">
        <f t="shared" si="62"/>
        <v>0</v>
      </c>
      <c r="AI116" s="1">
        <f t="shared" si="62"/>
        <v>0</v>
      </c>
      <c r="AK116" s="30"/>
      <c r="AM116" s="44">
        <f t="shared" si="38"/>
        <v>150</v>
      </c>
      <c r="AN116" s="45">
        <f t="shared" si="55"/>
        <v>979</v>
      </c>
      <c r="AO116" s="54">
        <f t="shared" si="9"/>
        <v>0</v>
      </c>
      <c r="AP116" s="54">
        <f t="shared" si="10"/>
        <v>0</v>
      </c>
      <c r="AQ116" s="54">
        <f t="shared" si="39"/>
        <v>0</v>
      </c>
      <c r="AR116" s="46">
        <f t="shared" si="11"/>
        <v>0</v>
      </c>
      <c r="AS116" s="47">
        <f t="shared" si="40"/>
        <v>0</v>
      </c>
      <c r="AT116" s="47">
        <f t="shared" si="56"/>
        <v>0</v>
      </c>
      <c r="AU116" s="48">
        <f t="shared" si="41"/>
        <v>0</v>
      </c>
      <c r="AV116" s="48">
        <f t="shared" si="12"/>
        <v>873.75142581633452</v>
      </c>
      <c r="AW116" s="140">
        <f t="shared" si="42"/>
        <v>-197.39209979505577</v>
      </c>
      <c r="AX116" s="53"/>
      <c r="AZ116" s="50">
        <f t="shared" si="43"/>
        <v>140.76146252272019</v>
      </c>
      <c r="BA116" s="50">
        <f t="shared" si="44"/>
        <v>140.76146252272019</v>
      </c>
      <c r="BB116" s="50">
        <f t="shared" si="13"/>
        <v>548.94222082239799</v>
      </c>
      <c r="BD116" s="50">
        <f t="shared" si="14"/>
        <v>150</v>
      </c>
      <c r="BE116" s="50">
        <f t="shared" si="15"/>
        <v>979</v>
      </c>
      <c r="BF116" s="53">
        <f t="shared" si="16"/>
        <v>0</v>
      </c>
      <c r="BG116" s="53">
        <f t="shared" si="45"/>
        <v>0</v>
      </c>
      <c r="BH116" s="53">
        <f t="shared" si="46"/>
        <v>873.75142581633452</v>
      </c>
      <c r="BI116" s="127">
        <f t="shared" si="47"/>
        <v>-197.39209979505577</v>
      </c>
      <c r="BK116" s="44">
        <f t="shared" si="48"/>
        <v>150</v>
      </c>
      <c r="BL116" s="45">
        <f t="shared" si="57"/>
        <v>979</v>
      </c>
      <c r="BM116" s="119" cm="1">
        <f t="array" ref="BM116">IF(($AG$51=0),0,
_xlfn.IFS(BK116&lt;=$BL$102,($AG$53*(1-(BK116/$BL$102))),AND(BK116&gt;$BL$102,BK116&lt;($AG$55+$BL$102)),0,BK116&gt;=($AG$55+$BL$102),($AG$53*((BK116-($AG$55+$BL$102))/$BL$102)))-$AG$54)</f>
        <v>0</v>
      </c>
      <c r="BN116" s="119" cm="1">
        <f t="array" ref="BN116">IF(($AG$51=0),0,
_xlfn.IFS(BK116&lt;=$BL$102,($BL$103*(1-(BK116/$BL$102))),AND(BK116&gt;$BL$102,BK116&lt;($AG$55+$BL$102)),0,BK116&gt;=($AG$55+$BL$102),($BL$103*((BK116-($AG$55+$BL$102))/$BL$102))))</f>
        <v>0</v>
      </c>
      <c r="BO116" s="120">
        <f t="shared" si="17"/>
        <v>0</v>
      </c>
      <c r="BP116" s="121">
        <f t="shared" si="18"/>
        <v>0</v>
      </c>
      <c r="BQ116" s="121">
        <f t="shared" si="58"/>
        <v>0</v>
      </c>
      <c r="BR116" s="48">
        <f t="shared" si="19"/>
        <v>0</v>
      </c>
      <c r="BS116" s="48">
        <f t="shared" si="20"/>
        <v>979</v>
      </c>
      <c r="BU116" s="122"/>
      <c r="BW116" s="50">
        <f t="shared" si="49"/>
        <v>150</v>
      </c>
      <c r="BX116" s="50">
        <f t="shared" si="50"/>
        <v>979</v>
      </c>
      <c r="BY116" s="53">
        <f t="shared" si="51"/>
        <v>0</v>
      </c>
      <c r="BZ116" s="53">
        <f t="shared" si="52"/>
        <v>0</v>
      </c>
      <c r="CA116" s="53">
        <f t="shared" si="53"/>
        <v>979</v>
      </c>
      <c r="CC116" s="126">
        <f t="shared" si="54"/>
        <v>873.75142581633452</v>
      </c>
      <c r="CD116" s="127">
        <f t="shared" si="21"/>
        <v>10.815432994768493</v>
      </c>
    </row>
    <row r="117" spans="2:82" x14ac:dyDescent="0.35">
      <c r="B117" s="50" t="b">
        <f t="shared" si="22"/>
        <v>1</v>
      </c>
      <c r="C117" s="21">
        <f t="shared" si="23"/>
        <v>21.877777777777773</v>
      </c>
      <c r="D117" s="13">
        <f t="shared" si="24"/>
        <v>1.5588808725846619</v>
      </c>
      <c r="E117" s="143">
        <f t="shared" si="25"/>
        <v>111.90591880898178</v>
      </c>
      <c r="F117" s="52">
        <f t="shared" si="26"/>
        <v>0.46647351247983665</v>
      </c>
      <c r="G117" s="50">
        <f t="shared" si="27"/>
        <v>33.486296440059846</v>
      </c>
      <c r="H117" s="50">
        <f t="shared" si="5"/>
        <v>145.39221524904161</v>
      </c>
      <c r="I117" s="16">
        <f t="shared" si="28"/>
        <v>5.7510793295647513</v>
      </c>
      <c r="J117" s="22">
        <f t="shared" si="29"/>
        <v>2.6063492135803605E-2</v>
      </c>
      <c r="K117" s="15">
        <f t="shared" si="59"/>
        <v>807.05345176675451</v>
      </c>
      <c r="L117" s="15">
        <f t="shared" si="6"/>
        <v>545.12222341557208</v>
      </c>
      <c r="M117" s="17">
        <f t="shared" si="30"/>
        <v>0.26671489255759501</v>
      </c>
      <c r="N117" s="15">
        <f t="shared" si="31"/>
        <v>319</v>
      </c>
      <c r="O117" s="17">
        <f t="shared" si="32"/>
        <v>0.58518986439635834</v>
      </c>
      <c r="P117" s="15">
        <f t="shared" si="33"/>
        <v>0</v>
      </c>
      <c r="Q117" s="7">
        <f t="shared" si="34"/>
        <v>0</v>
      </c>
      <c r="R117" s="17">
        <f t="shared" si="7"/>
        <v>0.58518986439635834</v>
      </c>
      <c r="S117" s="17">
        <f t="shared" si="35"/>
        <v>0.40585748659747434</v>
      </c>
      <c r="T117" s="162">
        <f t="shared" si="36"/>
        <v>573.73780949007642</v>
      </c>
      <c r="U117" s="162">
        <f>ABS($L117-$L118)*IF($B117,FORECAST($L117,
INDEX($Z$119:$AJ$119,MATCH($L117,$Z$105:$AJ$105,1)):INDEX($Z$119:$AJ$119,MATCH($L117,$Z$105:$AJ$105,1)+1),
INDEX($Z$105:$AJ$105,MATCH($L117,$Z$105:$AJ$105,1)):INDEX($Z$105:$AJ$105,MATCH($L117,$Z$105:$AJ$105,1)+1)),0)</f>
        <v>0</v>
      </c>
      <c r="V117" s="162">
        <f>ABS($L117-$L118)*IF($B117,FORECAST($L117,
INDEX($Z$120:$AJ$120,MATCH($L117,$Z$105:$AJ$105,1)):INDEX($Z$120:$AJ$120,MATCH($L117,$Z$105:$AJ$105,1)+1),
INDEX($Z$105:$AJ$105,MATCH($L117,$Z$105:$AJ$105,1)):INDEX($Z$105:$AJ$105,MATCH($L117,$Z$105:$AJ$105,1)+1)),0)</f>
        <v>1205.5483561438452</v>
      </c>
      <c r="W117" s="162">
        <f>ABS($L117-$L118)*IF($B117,FORECAST($L117,
INDEX($Z$121:$AJ$121,MATCH($L117,$Z$105:$AJ$105,1)):INDEX($Z$121:$AJ$121,MATCH($L117,$Z$105:$AJ$105,1)+1),
INDEX($Z$105:$AJ$105,MATCH($L117,$Z$105:$AJ$105,1)):INDEX($Z$105:$AJ$105,MATCH($L117,$Z$105:$AJ$105,1)+1)),0)</f>
        <v>1365.5078242522725</v>
      </c>
      <c r="X117" s="162">
        <f>ABS($L117-$L118)*IF($B117,FORECAST($L117,
INDEX($Z$122:$AJ$122,MATCH($L117,$Z$105:$AJ$105,1)):INDEX($Z$122:$AJ$122,MATCH($L117,$Z$105:$AJ$105,1)+1),
INDEX($Z$105:$AJ$105,MATCH($L117,$Z$105:$AJ$105,1)):INDEX($Z$105:$AJ$105,MATCH($L117,$Z$105:$AJ$105,1)+1)),0)</f>
        <v>1074.6858115404109</v>
      </c>
      <c r="Y117" t="s">
        <v>118</v>
      </c>
      <c r="Z117" s="1">
        <f t="shared" ref="Z117:AI117" si="63">IF(ISERROR(OR(Z111,AA111,Z$113)),0,(AA$105-Z$105)*AVERAGE(Z111:AA111)*Z$113)</f>
        <v>0</v>
      </c>
      <c r="AA117" s="1">
        <f t="shared" si="63"/>
        <v>19580.424184930893</v>
      </c>
      <c r="AB117" s="1">
        <f t="shared" si="63"/>
        <v>29653.89170542053</v>
      </c>
      <c r="AC117" s="1">
        <f t="shared" si="63"/>
        <v>28482.411720530901</v>
      </c>
      <c r="AD117" s="1">
        <f t="shared" si="63"/>
        <v>23148.930501107759</v>
      </c>
      <c r="AE117" s="1">
        <f t="shared" si="63"/>
        <v>0</v>
      </c>
      <c r="AF117" s="1">
        <f t="shared" si="63"/>
        <v>0</v>
      </c>
      <c r="AG117" s="1">
        <f t="shared" si="63"/>
        <v>0</v>
      </c>
      <c r="AH117" s="1">
        <f t="shared" si="63"/>
        <v>0</v>
      </c>
      <c r="AI117" s="1">
        <f t="shared" si="63"/>
        <v>0</v>
      </c>
      <c r="AK117" s="30"/>
      <c r="AM117" s="44">
        <f t="shared" si="38"/>
        <v>165</v>
      </c>
      <c r="AN117" s="45">
        <f t="shared" si="55"/>
        <v>979</v>
      </c>
      <c r="AO117" s="54">
        <f t="shared" si="9"/>
        <v>0</v>
      </c>
      <c r="AP117" s="54">
        <f t="shared" si="10"/>
        <v>0</v>
      </c>
      <c r="AQ117" s="54">
        <f t="shared" si="39"/>
        <v>0</v>
      </c>
      <c r="AR117" s="46">
        <f t="shared" si="11"/>
        <v>0</v>
      </c>
      <c r="AS117" s="47">
        <f t="shared" si="40"/>
        <v>0</v>
      </c>
      <c r="AT117" s="47">
        <f t="shared" si="56"/>
        <v>0</v>
      </c>
      <c r="AU117" s="48">
        <f t="shared" si="41"/>
        <v>0</v>
      </c>
      <c r="AV117" s="48">
        <f t="shared" si="12"/>
        <v>873.75142581633452</v>
      </c>
      <c r="AW117" s="140">
        <f t="shared" si="42"/>
        <v>-197.39209979505577</v>
      </c>
      <c r="AX117" s="53"/>
      <c r="AZ117" s="50">
        <f t="shared" si="43"/>
        <v>145.39221524904161</v>
      </c>
      <c r="BA117" s="50">
        <f t="shared" si="44"/>
        <v>145.39221524904161</v>
      </c>
      <c r="BB117" s="50">
        <f t="shared" si="13"/>
        <v>545.12222341557208</v>
      </c>
      <c r="BD117" s="50">
        <f t="shared" si="14"/>
        <v>165</v>
      </c>
      <c r="BE117" s="50">
        <f t="shared" si="15"/>
        <v>979</v>
      </c>
      <c r="BF117" s="53">
        <f t="shared" si="16"/>
        <v>0</v>
      </c>
      <c r="BG117" s="53">
        <f t="shared" si="45"/>
        <v>0</v>
      </c>
      <c r="BH117" s="53">
        <f t="shared" si="46"/>
        <v>873.75142581633452</v>
      </c>
      <c r="BI117" s="127">
        <f t="shared" si="47"/>
        <v>-197.39209979505577</v>
      </c>
      <c r="BK117" s="44">
        <f t="shared" si="48"/>
        <v>165</v>
      </c>
      <c r="BL117" s="45">
        <f t="shared" si="57"/>
        <v>979</v>
      </c>
      <c r="BM117" s="119" cm="1">
        <f t="array" ref="BM117">IF(($AG$51=0),0,
_xlfn.IFS(BK117&lt;=$BL$102,($AG$53*(1-(BK117/$BL$102))),AND(BK117&gt;$BL$102,BK117&lt;($AG$55+$BL$102)),0,BK117&gt;=($AG$55+$BL$102),($AG$53*((BK117-($AG$55+$BL$102))/$BL$102)))-$AG$54)</f>
        <v>0</v>
      </c>
      <c r="BN117" s="119" cm="1">
        <f t="array" ref="BN117">IF(($AG$51=0),0,
_xlfn.IFS(BK117&lt;=$BL$102,($BL$103*(1-(BK117/$BL$102))),AND(BK117&gt;$BL$102,BK117&lt;($AG$55+$BL$102)),0,BK117&gt;=($AG$55+$BL$102),($BL$103*((BK117-($AG$55+$BL$102))/$BL$102))))</f>
        <v>0</v>
      </c>
      <c r="BO117" s="120">
        <f t="shared" si="17"/>
        <v>0</v>
      </c>
      <c r="BP117" s="121">
        <f t="shared" si="18"/>
        <v>0</v>
      </c>
      <c r="BQ117" s="121">
        <f t="shared" si="58"/>
        <v>0</v>
      </c>
      <c r="BR117" s="48">
        <f t="shared" si="19"/>
        <v>0</v>
      </c>
      <c r="BS117" s="48">
        <f t="shared" si="20"/>
        <v>979</v>
      </c>
      <c r="BU117" s="122"/>
      <c r="BW117" s="50">
        <f t="shared" si="49"/>
        <v>165</v>
      </c>
      <c r="BX117" s="50">
        <f t="shared" si="50"/>
        <v>979</v>
      </c>
      <c r="BY117" s="53">
        <f t="shared" si="51"/>
        <v>0</v>
      </c>
      <c r="BZ117" s="53">
        <f t="shared" si="52"/>
        <v>0</v>
      </c>
      <c r="CA117" s="53">
        <f t="shared" si="53"/>
        <v>979</v>
      </c>
      <c r="CC117" s="126">
        <f t="shared" si="54"/>
        <v>873.75142581633452</v>
      </c>
      <c r="CD117" s="127">
        <f t="shared" si="21"/>
        <v>10.815432994768493</v>
      </c>
    </row>
    <row r="118" spans="2:82" x14ac:dyDescent="0.35">
      <c r="B118" s="50" t="b">
        <f t="shared" si="22"/>
        <v>1</v>
      </c>
      <c r="C118" s="21">
        <f t="shared" si="23"/>
        <v>23.86666666666666</v>
      </c>
      <c r="D118" s="13">
        <f t="shared" si="24"/>
        <v>1.5849443647204655</v>
      </c>
      <c r="E118" s="143">
        <f t="shared" si="25"/>
        <v>113.77691426868736</v>
      </c>
      <c r="F118" s="52">
        <f t="shared" si="26"/>
        <v>0.50534630518648971</v>
      </c>
      <c r="G118" s="50">
        <f t="shared" si="27"/>
        <v>36.276821143398166</v>
      </c>
      <c r="H118" s="50">
        <f t="shared" si="5"/>
        <v>150.05373541208553</v>
      </c>
      <c r="I118" s="16">
        <f t="shared" si="28"/>
        <v>5.8472337012775606</v>
      </c>
      <c r="J118" s="22">
        <f t="shared" si="29"/>
        <v>2.649925707093094E-2</v>
      </c>
      <c r="K118" s="15">
        <f t="shared" si="59"/>
        <v>801.30337243718975</v>
      </c>
      <c r="L118" s="15">
        <f t="shared" si="6"/>
        <v>541.23834679985805</v>
      </c>
      <c r="M118" s="17">
        <f t="shared" si="30"/>
        <v>0.27724150792215241</v>
      </c>
      <c r="N118" s="15">
        <f t="shared" si="31"/>
        <v>319</v>
      </c>
      <c r="O118" s="17">
        <f t="shared" si="32"/>
        <v>0.58938913306148555</v>
      </c>
      <c r="P118" s="15">
        <f t="shared" si="33"/>
        <v>0</v>
      </c>
      <c r="Q118" s="7">
        <f t="shared" si="34"/>
        <v>0</v>
      </c>
      <c r="R118" s="17">
        <f t="shared" si="7"/>
        <v>0.58938913306148555</v>
      </c>
      <c r="S118" s="17">
        <f t="shared" si="35"/>
        <v>0.40876988260715935</v>
      </c>
      <c r="T118" s="162">
        <f t="shared" si="36"/>
        <v>601.80129254015344</v>
      </c>
      <c r="U118" s="162">
        <f>ABS($L118-$L119)*IF($B118,FORECAST($L118,
INDEX($Z$119:$AJ$119,MATCH($L118,$Z$105:$AJ$105,1)):INDEX($Z$119:$AJ$119,MATCH($L118,$Z$105:$AJ$105,1)+1),
INDEX($Z$105:$AJ$105,MATCH($L118,$Z$105:$AJ$105,1)):INDEX($Z$105:$AJ$105,MATCH($L118,$Z$105:$AJ$105,1)+1)),0)</f>
        <v>0</v>
      </c>
      <c r="V118" s="162">
        <f>ABS($L118-$L119)*IF($B118,FORECAST($L118,
INDEX($Z$120:$AJ$120,MATCH($L118,$Z$105:$AJ$105,1)):INDEX($Z$120:$AJ$120,MATCH($L118,$Z$105:$AJ$105,1)+1),
INDEX($Z$105:$AJ$105,MATCH($L118,$Z$105:$AJ$105,1)):INDEX($Z$105:$AJ$105,MATCH($L118,$Z$105:$AJ$105,1)+1)),0)</f>
        <v>1227.1886308084536</v>
      </c>
      <c r="W118" s="162">
        <f>ABS($L118-$L119)*IF($B118,FORECAST($L118,
INDEX($Z$121:$AJ$121,MATCH($L118,$Z$105:$AJ$105,1)):INDEX($Z$121:$AJ$121,MATCH($L118,$Z$105:$AJ$105,1)+1),
INDEX($Z$105:$AJ$105,MATCH($L118,$Z$105:$AJ$105,1)):INDEX($Z$105:$AJ$105,MATCH($L118,$Z$105:$AJ$105,1)+1)),0)</f>
        <v>1387.7696482049062</v>
      </c>
      <c r="X118" s="162">
        <f>ABS($L118-$L119)*IF($B118,FORECAST($L118,
INDEX($Z$122:$AJ$122,MATCH($L118,$Z$105:$AJ$105,1)):INDEX($Z$122:$AJ$122,MATCH($L118,$Z$105:$AJ$105,1)+1),
INDEX($Z$105:$AJ$105,MATCH($L118,$Z$105:$AJ$105,1)):INDEX($Z$105:$AJ$105,MATCH($L118,$Z$105:$AJ$105,1)+1)),0)</f>
        <v>1094.6511015492322</v>
      </c>
      <c r="AM118" s="44">
        <f t="shared" si="38"/>
        <v>180</v>
      </c>
      <c r="AN118" s="45">
        <f t="shared" si="55"/>
        <v>979</v>
      </c>
      <c r="AO118" s="54">
        <f t="shared" si="9"/>
        <v>0</v>
      </c>
      <c r="AP118" s="54">
        <f t="shared" si="10"/>
        <v>0</v>
      </c>
      <c r="AQ118" s="54">
        <f t="shared" si="39"/>
        <v>0</v>
      </c>
      <c r="AR118" s="46">
        <f t="shared" si="11"/>
        <v>0</v>
      </c>
      <c r="AS118" s="47">
        <f t="shared" si="40"/>
        <v>0</v>
      </c>
      <c r="AT118" s="47">
        <f t="shared" si="56"/>
        <v>0</v>
      </c>
      <c r="AU118" s="48">
        <f t="shared" si="41"/>
        <v>0</v>
      </c>
      <c r="AV118" s="48">
        <f t="shared" si="12"/>
        <v>873.75142581633452</v>
      </c>
      <c r="AW118" s="140">
        <f t="shared" si="42"/>
        <v>-197.39209979505577</v>
      </c>
      <c r="AX118" s="53"/>
      <c r="AZ118" s="50">
        <f t="shared" si="43"/>
        <v>150.05373541208553</v>
      </c>
      <c r="BA118" s="50">
        <f t="shared" si="44"/>
        <v>150.05373541208553</v>
      </c>
      <c r="BB118" s="50">
        <f t="shared" si="13"/>
        <v>541.23834679985805</v>
      </c>
      <c r="BD118" s="50">
        <f t="shared" si="14"/>
        <v>180</v>
      </c>
      <c r="BE118" s="50">
        <f t="shared" si="15"/>
        <v>979</v>
      </c>
      <c r="BF118" s="53">
        <f t="shared" si="16"/>
        <v>0</v>
      </c>
      <c r="BG118" s="53">
        <f t="shared" si="45"/>
        <v>0</v>
      </c>
      <c r="BH118" s="53">
        <f t="shared" si="46"/>
        <v>873.75142581633452</v>
      </c>
      <c r="BI118" s="127">
        <f t="shared" si="47"/>
        <v>-197.39209979505577</v>
      </c>
      <c r="BK118" s="44">
        <f t="shared" si="48"/>
        <v>180</v>
      </c>
      <c r="BL118" s="45">
        <f t="shared" si="57"/>
        <v>979</v>
      </c>
      <c r="BM118" s="119" cm="1">
        <f t="array" ref="BM118">IF(($AG$51=0),0,
_xlfn.IFS(BK118&lt;=$BL$102,($AG$53*(1-(BK118/$BL$102))),AND(BK118&gt;$BL$102,BK118&lt;($AG$55+$BL$102)),0,BK118&gt;=($AG$55+$BL$102),($AG$53*((BK118-($AG$55+$BL$102))/$BL$102)))-$AG$54)</f>
        <v>0</v>
      </c>
      <c r="BN118" s="119" cm="1">
        <f t="array" ref="BN118">IF(($AG$51=0),0,
_xlfn.IFS(BK118&lt;=$BL$102,($BL$103*(1-(BK118/$BL$102))),AND(BK118&gt;$BL$102,BK118&lt;($AG$55+$BL$102)),0,BK118&gt;=($AG$55+$BL$102),($BL$103*((BK118-($AG$55+$BL$102))/$BL$102))))</f>
        <v>0</v>
      </c>
      <c r="BO118" s="120">
        <f t="shared" si="17"/>
        <v>0</v>
      </c>
      <c r="BP118" s="121">
        <f t="shared" si="18"/>
        <v>0</v>
      </c>
      <c r="BQ118" s="121">
        <f t="shared" si="58"/>
        <v>0</v>
      </c>
      <c r="BR118" s="48">
        <f t="shared" si="19"/>
        <v>0</v>
      </c>
      <c r="BS118" s="48">
        <f t="shared" si="20"/>
        <v>979</v>
      </c>
      <c r="BU118" s="122"/>
      <c r="BW118" s="50">
        <f t="shared" ref="BW118:BW181" si="64">BK118/$G$72</f>
        <v>180</v>
      </c>
      <c r="BX118" s="50">
        <f t="shared" ref="BX118:BX181" si="65">BL118/$G$71</f>
        <v>979</v>
      </c>
      <c r="BY118" s="53">
        <f t="shared" ref="BY118:BY181" si="66">BM118/$G$72</f>
        <v>0</v>
      </c>
      <c r="BZ118" s="53">
        <f t="shared" ref="BZ118:BZ181" si="67">BP118/$G$72</f>
        <v>0</v>
      </c>
      <c r="CA118" s="53">
        <f t="shared" ref="CA118:CA181" si="68">BS118/$G$71</f>
        <v>979</v>
      </c>
      <c r="CC118" s="126">
        <f t="shared" si="54"/>
        <v>873.75142581633452</v>
      </c>
      <c r="CD118" s="127">
        <f t="shared" si="21"/>
        <v>10.815432994768493</v>
      </c>
    </row>
    <row r="119" spans="2:82" x14ac:dyDescent="0.35">
      <c r="B119" s="50" t="b">
        <f t="shared" si="22"/>
        <v>1</v>
      </c>
      <c r="C119" s="21">
        <f t="shared" si="23"/>
        <v>25.855555555555547</v>
      </c>
      <c r="D119" s="13">
        <f t="shared" si="24"/>
        <v>1.6114436217913966</v>
      </c>
      <c r="E119" s="143">
        <f t="shared" si="25"/>
        <v>115.67919157699842</v>
      </c>
      <c r="F119" s="52">
        <f t="shared" si="26"/>
        <v>0.54421909789314271</v>
      </c>
      <c r="G119" s="50">
        <f t="shared" si="27"/>
        <v>39.067345846736487</v>
      </c>
      <c r="H119" s="50">
        <f t="shared" si="5"/>
        <v>154.74653742373491</v>
      </c>
      <c r="I119" s="16">
        <f t="shared" si="28"/>
        <v>5.944995712647148</v>
      </c>
      <c r="J119" s="22">
        <f t="shared" si="29"/>
        <v>2.6942307717339679E-2</v>
      </c>
      <c r="K119" s="15">
        <f t="shared" si="59"/>
        <v>795.45713873591217</v>
      </c>
      <c r="L119" s="15">
        <f t="shared" si="6"/>
        <v>537.28952295569889</v>
      </c>
      <c r="M119" s="17">
        <f t="shared" si="30"/>
        <v>0.28801331649359968</v>
      </c>
      <c r="N119" s="15">
        <f t="shared" si="31"/>
        <v>319</v>
      </c>
      <c r="O119" s="17">
        <f t="shared" si="32"/>
        <v>0.59372086439567984</v>
      </c>
      <c r="P119" s="15">
        <f t="shared" si="33"/>
        <v>0</v>
      </c>
      <c r="Q119" s="7">
        <f t="shared" si="34"/>
        <v>0</v>
      </c>
      <c r="R119" s="17">
        <f t="shared" si="7"/>
        <v>0.59372086439567984</v>
      </c>
      <c r="S119" s="17">
        <f t="shared" si="35"/>
        <v>0.41177414788732636</v>
      </c>
      <c r="T119" s="162">
        <f t="shared" si="36"/>
        <v>630.76952143974802</v>
      </c>
      <c r="U119" s="162">
        <f>ABS($L119-$L120)*IF($B119,FORECAST($L119,
INDEX($Z$119:$AJ$119,MATCH($L119,$Z$105:$AJ$105,1)):INDEX($Z$119:$AJ$119,MATCH($L119,$Z$105:$AJ$105,1)+1),
INDEX($Z$105:$AJ$105,MATCH($L119,$Z$105:$AJ$105,1)):INDEX($Z$105:$AJ$105,MATCH($L119,$Z$105:$AJ$105,1)+1)),0)</f>
        <v>0</v>
      </c>
      <c r="V119" s="162">
        <f>ABS($L119-$L120)*IF($B119,FORECAST($L119,
INDEX($Z$120:$AJ$120,MATCH($L119,$Z$105:$AJ$105,1)):INDEX($Z$120:$AJ$120,MATCH($L119,$Z$105:$AJ$105,1)+1),
INDEX($Z$105:$AJ$105,MATCH($L119,$Z$105:$AJ$105,1)):INDEX($Z$105:$AJ$105,MATCH($L119,$Z$105:$AJ$105,1)+1)),0)</f>
        <v>1249.24065897981</v>
      </c>
      <c r="W119" s="162">
        <f>ABS($L119-$L120)*IF($B119,FORECAST($L119,
INDEX($Z$121:$AJ$121,MATCH($L119,$Z$105:$AJ$105,1)):INDEX($Z$121:$AJ$121,MATCH($L119,$Z$105:$AJ$105,1)+1),
INDEX($Z$105:$AJ$105,MATCH($L119,$Z$105:$AJ$105,1)):INDEX($Z$105:$AJ$105,MATCH($L119,$Z$105:$AJ$105,1)+1)),0)</f>
        <v>1410.3843647456208</v>
      </c>
      <c r="X119" s="162">
        <f>ABS($L119-$L120)*IF($B119,FORECAST($L119,
INDEX($Z$122:$AJ$122,MATCH($L119,$Z$105:$AJ$105,1)):INDEX($Z$122:$AJ$122,MATCH($L119,$Z$105:$AJ$105,1)+1),
INDEX($Z$105:$AJ$105,MATCH($L119,$Z$105:$AJ$105,1)):INDEX($Z$105:$AJ$105,MATCH($L119,$Z$105:$AJ$105,1)+1)),0)</f>
        <v>1115.017453598005</v>
      </c>
      <c r="Y119" s="37" t="s">
        <v>115</v>
      </c>
      <c r="Z119" s="1">
        <f>IF(ISERROR(Z108),0,Z108)</f>
        <v>0</v>
      </c>
      <c r="AA119" s="1">
        <f t="shared" ref="AA119:AJ119" si="69">IF(ISERROR(AA108),0,AA108)</f>
        <v>0</v>
      </c>
      <c r="AB119" s="1">
        <f t="shared" si="69"/>
        <v>0</v>
      </c>
      <c r="AC119" s="1">
        <f t="shared" si="69"/>
        <v>0</v>
      </c>
      <c r="AD119" s="1">
        <f t="shared" si="69"/>
        <v>0</v>
      </c>
      <c r="AE119" s="1">
        <f t="shared" si="69"/>
        <v>0</v>
      </c>
      <c r="AF119" s="1">
        <f t="shared" si="69"/>
        <v>0</v>
      </c>
      <c r="AG119" s="1">
        <f t="shared" si="69"/>
        <v>0</v>
      </c>
      <c r="AH119" s="1">
        <f t="shared" si="69"/>
        <v>0</v>
      </c>
      <c r="AI119" s="1">
        <f t="shared" si="69"/>
        <v>0</v>
      </c>
      <c r="AJ119" s="1">
        <f t="shared" si="69"/>
        <v>0</v>
      </c>
      <c r="AK119" s="1" t="b">
        <f>IF(SUM(Z119:AJ119)&gt;0,TRUE,FALSE)</f>
        <v>0</v>
      </c>
      <c r="AM119" s="44">
        <f t="shared" si="38"/>
        <v>195</v>
      </c>
      <c r="AN119" s="45">
        <f t="shared" si="55"/>
        <v>979</v>
      </c>
      <c r="AO119" s="54">
        <f t="shared" si="9"/>
        <v>0</v>
      </c>
      <c r="AP119" s="54">
        <f t="shared" si="10"/>
        <v>0</v>
      </c>
      <c r="AQ119" s="54">
        <f t="shared" si="39"/>
        <v>0</v>
      </c>
      <c r="AR119" s="46">
        <f t="shared" si="11"/>
        <v>0</v>
      </c>
      <c r="AS119" s="47">
        <f t="shared" si="40"/>
        <v>0</v>
      </c>
      <c r="AT119" s="47">
        <f t="shared" si="56"/>
        <v>0</v>
      </c>
      <c r="AU119" s="48">
        <f t="shared" si="41"/>
        <v>0</v>
      </c>
      <c r="AV119" s="48">
        <f t="shared" si="12"/>
        <v>873.75142581633452</v>
      </c>
      <c r="AW119" s="140">
        <f t="shared" si="42"/>
        <v>-197.39209979505577</v>
      </c>
      <c r="AX119" s="53"/>
      <c r="AZ119" s="50">
        <f t="shared" si="43"/>
        <v>154.74653742373491</v>
      </c>
      <c r="BA119" s="50">
        <f t="shared" si="44"/>
        <v>154.74653742373491</v>
      </c>
      <c r="BB119" s="50">
        <f t="shared" si="13"/>
        <v>537.28952295569889</v>
      </c>
      <c r="BD119" s="50">
        <f t="shared" si="14"/>
        <v>195</v>
      </c>
      <c r="BE119" s="50">
        <f t="shared" si="15"/>
        <v>979</v>
      </c>
      <c r="BF119" s="53">
        <f t="shared" si="16"/>
        <v>0</v>
      </c>
      <c r="BG119" s="53">
        <f t="shared" si="45"/>
        <v>0</v>
      </c>
      <c r="BH119" s="53">
        <f t="shared" si="46"/>
        <v>873.75142581633452</v>
      </c>
      <c r="BI119" s="127">
        <f t="shared" si="47"/>
        <v>-197.39209979505577</v>
      </c>
      <c r="BK119" s="44">
        <f t="shared" si="48"/>
        <v>195</v>
      </c>
      <c r="BL119" s="45">
        <f t="shared" si="57"/>
        <v>979</v>
      </c>
      <c r="BM119" s="119" cm="1">
        <f t="array" ref="BM119">IF(($AG$51=0),0,
_xlfn.IFS(BK119&lt;=$BL$102,($AG$53*(1-(BK119/$BL$102))),AND(BK119&gt;$BL$102,BK119&lt;($AG$55+$BL$102)),0,BK119&gt;=($AG$55+$BL$102),($AG$53*((BK119-($AG$55+$BL$102))/$BL$102)))-$AG$54)</f>
        <v>0</v>
      </c>
      <c r="BN119" s="119" cm="1">
        <f t="array" ref="BN119">IF(($AG$51=0),0,
_xlfn.IFS(BK119&lt;=$BL$102,($BL$103*(1-(BK119/$BL$102))),AND(BK119&gt;$BL$102,BK119&lt;($AG$55+$BL$102)),0,BK119&gt;=($AG$55+$BL$102),($BL$103*((BK119-($AG$55+$BL$102))/$BL$102))))</f>
        <v>0</v>
      </c>
      <c r="BO119" s="120">
        <f t="shared" si="17"/>
        <v>0</v>
      </c>
      <c r="BP119" s="121">
        <f t="shared" si="18"/>
        <v>0</v>
      </c>
      <c r="BQ119" s="121">
        <f t="shared" si="58"/>
        <v>0</v>
      </c>
      <c r="BR119" s="48">
        <f t="shared" si="19"/>
        <v>0</v>
      </c>
      <c r="BS119" s="48">
        <f t="shared" si="20"/>
        <v>979</v>
      </c>
      <c r="BU119" s="122"/>
      <c r="BW119" s="50">
        <f t="shared" si="64"/>
        <v>195</v>
      </c>
      <c r="BX119" s="50">
        <f t="shared" si="65"/>
        <v>979</v>
      </c>
      <c r="BY119" s="53">
        <f t="shared" si="66"/>
        <v>0</v>
      </c>
      <c r="BZ119" s="53">
        <f t="shared" si="67"/>
        <v>0</v>
      </c>
      <c r="CA119" s="53">
        <f t="shared" si="68"/>
        <v>979</v>
      </c>
      <c r="CC119" s="126">
        <f t="shared" si="54"/>
        <v>873.75142581633452</v>
      </c>
      <c r="CD119" s="127">
        <f t="shared" si="21"/>
        <v>10.815432994768493</v>
      </c>
    </row>
    <row r="120" spans="2:82" x14ac:dyDescent="0.35">
      <c r="B120" s="50" t="b">
        <f t="shared" si="22"/>
        <v>1</v>
      </c>
      <c r="C120" s="21">
        <f t="shared" si="23"/>
        <v>27.844444444444434</v>
      </c>
      <c r="D120" s="13">
        <f t="shared" si="24"/>
        <v>1.6383859295087362</v>
      </c>
      <c r="E120" s="143">
        <f t="shared" si="25"/>
        <v>117.61327374643595</v>
      </c>
      <c r="F120" s="52">
        <f t="shared" si="26"/>
        <v>0.58309189059979571</v>
      </c>
      <c r="G120" s="50">
        <f t="shared" si="27"/>
        <v>41.8578705500748</v>
      </c>
      <c r="H120" s="50">
        <f t="shared" si="5"/>
        <v>159.47114429651074</v>
      </c>
      <c r="I120" s="16">
        <f t="shared" si="28"/>
        <v>6.0443922423813659</v>
      </c>
      <c r="J120" s="22">
        <f t="shared" si="29"/>
        <v>2.7392765887467196E-2</v>
      </c>
      <c r="K120" s="15">
        <f t="shared" si="59"/>
        <v>789.513143023265</v>
      </c>
      <c r="L120" s="15">
        <f t="shared" si="6"/>
        <v>533.27466600693344</v>
      </c>
      <c r="M120" s="17">
        <f t="shared" si="30"/>
        <v>0.29904129046782313</v>
      </c>
      <c r="N120" s="15">
        <f t="shared" si="31"/>
        <v>319</v>
      </c>
      <c r="O120" s="17">
        <f t="shared" si="32"/>
        <v>0.59819080172815198</v>
      </c>
      <c r="P120" s="15">
        <f t="shared" si="33"/>
        <v>0</v>
      </c>
      <c r="Q120" s="7">
        <f t="shared" si="34"/>
        <v>0</v>
      </c>
      <c r="R120" s="17">
        <f t="shared" si="7"/>
        <v>0.59819080172815198</v>
      </c>
      <c r="S120" s="17">
        <f t="shared" si="35"/>
        <v>0.41487426571468605</v>
      </c>
      <c r="T120" s="162">
        <f t="shared" si="36"/>
        <v>660.66917529230693</v>
      </c>
      <c r="U120" s="162">
        <f>ABS($L120-$L121)*IF($B120,FORECAST($L120,
INDEX($Z$119:$AJ$119,MATCH($L120,$Z$105:$AJ$105,1)):INDEX($Z$119:$AJ$119,MATCH($L120,$Z$105:$AJ$105,1)+1),
INDEX($Z$105:$AJ$105,MATCH($L120,$Z$105:$AJ$105,1)):INDEX($Z$105:$AJ$105,MATCH($L120,$Z$105:$AJ$105,1)+1)),0)</f>
        <v>0</v>
      </c>
      <c r="V120" s="162">
        <f>ABS($L120-$L121)*IF($B120,FORECAST($L120,
INDEX($Z$120:$AJ$120,MATCH($L120,$Z$105:$AJ$105,1)):INDEX($Z$120:$AJ$120,MATCH($L120,$Z$105:$AJ$105,1)+1),
INDEX($Z$105:$AJ$105,MATCH($L120,$Z$105:$AJ$105,1)):INDEX($Z$105:$AJ$105,MATCH($L120,$Z$105:$AJ$105,1)+1)),0)</f>
        <v>1271.7130089420316</v>
      </c>
      <c r="W120" s="162">
        <f>ABS($L120-$L121)*IF($B120,FORECAST($L120,
INDEX($Z$121:$AJ$121,MATCH($L120,$Z$105:$AJ$105,1)):INDEX($Z$121:$AJ$121,MATCH($L120,$Z$105:$AJ$105,1)+1),
INDEX($Z$105:$AJ$105,MATCH($L120,$Z$105:$AJ$105,1)):INDEX($Z$105:$AJ$105,MATCH($L120,$Z$105:$AJ$105,1)+1)),0)</f>
        <v>1433.3572228553242</v>
      </c>
      <c r="X120" s="162">
        <f>ABS($L120-$L121)*IF($B120,FORECAST($L120,
INDEX($Z$122:$AJ$122,MATCH($L120,$Z$105:$AJ$105,1)):INDEX($Z$122:$AJ$122,MATCH($L120,$Z$105:$AJ$105,1)+1),
INDEX($Z$105:$AJ$105,MATCH($L120,$Z$105:$AJ$105,1)):INDEX($Z$105:$AJ$105,MATCH($L120,$Z$105:$AJ$105,1)+1)),0)</f>
        <v>1135.7938410129148</v>
      </c>
      <c r="Y120" s="37" t="s">
        <v>116</v>
      </c>
      <c r="Z120" s="1">
        <f>IF(ISERROR(Z109),0,Z109)</f>
        <v>357.31837541441553</v>
      </c>
      <c r="AA120" s="1">
        <f t="shared" ref="AA120:AJ120" si="70">IF(ISERROR(AA109),0,AA109)</f>
        <v>351.31526140261616</v>
      </c>
      <c r="AB120" s="1">
        <f t="shared" si="70"/>
        <v>340.11539781081416</v>
      </c>
      <c r="AC120" s="1">
        <f t="shared" si="70"/>
        <v>324.15237384088948</v>
      </c>
      <c r="AD120" s="1">
        <f t="shared" si="70"/>
        <v>314.75478714891767</v>
      </c>
      <c r="AE120" s="1">
        <f t="shared" si="70"/>
        <v>305.09973232839872</v>
      </c>
      <c r="AF120" s="1">
        <f t="shared" si="70"/>
        <v>288.62177210137975</v>
      </c>
      <c r="AG120" s="1">
        <f t="shared" si="70"/>
        <v>260.94394828255878</v>
      </c>
      <c r="AH120" s="1">
        <f t="shared" si="70"/>
        <v>235.96953981348307</v>
      </c>
      <c r="AI120" s="1">
        <f t="shared" si="70"/>
        <v>235.58333762066235</v>
      </c>
      <c r="AJ120" s="1">
        <f t="shared" si="70"/>
        <v>208.80665225175645</v>
      </c>
      <c r="AK120" s="1" t="b">
        <f>IF(SUM(Z120:AJ120)&gt;0,TRUE,FALSE)</f>
        <v>1</v>
      </c>
      <c r="AM120" s="44">
        <f t="shared" si="38"/>
        <v>210</v>
      </c>
      <c r="AN120" s="45">
        <f t="shared" si="55"/>
        <v>979</v>
      </c>
      <c r="AO120" s="54">
        <f t="shared" si="9"/>
        <v>0</v>
      </c>
      <c r="AP120" s="54">
        <f t="shared" si="10"/>
        <v>0</v>
      </c>
      <c r="AQ120" s="54">
        <f t="shared" si="39"/>
        <v>0</v>
      </c>
      <c r="AR120" s="46">
        <f t="shared" si="11"/>
        <v>0</v>
      </c>
      <c r="AS120" s="47">
        <f t="shared" si="40"/>
        <v>0</v>
      </c>
      <c r="AT120" s="47">
        <f t="shared" si="56"/>
        <v>0</v>
      </c>
      <c r="AU120" s="48">
        <f t="shared" si="41"/>
        <v>0</v>
      </c>
      <c r="AV120" s="48">
        <f t="shared" si="12"/>
        <v>873.75142581633452</v>
      </c>
      <c r="AW120" s="140">
        <f t="shared" si="42"/>
        <v>-197.39209979505577</v>
      </c>
      <c r="AX120" s="53"/>
      <c r="AZ120" s="50">
        <f t="shared" si="43"/>
        <v>159.47114429651074</v>
      </c>
      <c r="BA120" s="50">
        <f t="shared" si="44"/>
        <v>159.47114429651074</v>
      </c>
      <c r="BB120" s="50">
        <f t="shared" si="13"/>
        <v>533.27466600693344</v>
      </c>
      <c r="BD120" s="50">
        <f t="shared" si="14"/>
        <v>210</v>
      </c>
      <c r="BE120" s="50">
        <f t="shared" si="15"/>
        <v>979</v>
      </c>
      <c r="BF120" s="53">
        <f t="shared" si="16"/>
        <v>0</v>
      </c>
      <c r="BG120" s="53">
        <f t="shared" si="45"/>
        <v>0</v>
      </c>
      <c r="BH120" s="53">
        <f t="shared" si="46"/>
        <v>873.75142581633452</v>
      </c>
      <c r="BI120" s="127">
        <f t="shared" si="47"/>
        <v>-197.39209979505577</v>
      </c>
      <c r="BK120" s="44">
        <f t="shared" si="48"/>
        <v>210</v>
      </c>
      <c r="BL120" s="45">
        <f t="shared" si="57"/>
        <v>979</v>
      </c>
      <c r="BM120" s="119" cm="1">
        <f t="array" ref="BM120">IF(($AG$51=0),0,
_xlfn.IFS(BK120&lt;=$BL$102,($AG$53*(1-(BK120/$BL$102))),AND(BK120&gt;$BL$102,BK120&lt;($AG$55+$BL$102)),0,BK120&gt;=($AG$55+$BL$102),($AG$53*((BK120-($AG$55+$BL$102))/$BL$102)))-$AG$54)</f>
        <v>0</v>
      </c>
      <c r="BN120" s="119" cm="1">
        <f t="array" ref="BN120">IF(($AG$51=0),0,
_xlfn.IFS(BK120&lt;=$BL$102,($BL$103*(1-(BK120/$BL$102))),AND(BK120&gt;$BL$102,BK120&lt;($AG$55+$BL$102)),0,BK120&gt;=($AG$55+$BL$102),($BL$103*((BK120-($AG$55+$BL$102))/$BL$102))))</f>
        <v>0</v>
      </c>
      <c r="BO120" s="120">
        <f t="shared" si="17"/>
        <v>0</v>
      </c>
      <c r="BP120" s="121">
        <f t="shared" si="18"/>
        <v>0</v>
      </c>
      <c r="BQ120" s="121">
        <f t="shared" si="58"/>
        <v>0</v>
      </c>
      <c r="BR120" s="48">
        <f t="shared" si="19"/>
        <v>0</v>
      </c>
      <c r="BS120" s="48">
        <f t="shared" si="20"/>
        <v>979</v>
      </c>
      <c r="BU120" s="122"/>
      <c r="BW120" s="50">
        <f t="shared" si="64"/>
        <v>210</v>
      </c>
      <c r="BX120" s="50">
        <f t="shared" si="65"/>
        <v>979</v>
      </c>
      <c r="BY120" s="53">
        <f t="shared" si="66"/>
        <v>0</v>
      </c>
      <c r="BZ120" s="53">
        <f t="shared" si="67"/>
        <v>0</v>
      </c>
      <c r="CA120" s="53">
        <f t="shared" si="68"/>
        <v>979</v>
      </c>
      <c r="CC120" s="126">
        <f t="shared" si="54"/>
        <v>873.75142581633452</v>
      </c>
      <c r="CD120" s="127">
        <f t="shared" si="21"/>
        <v>10.815432994768493</v>
      </c>
    </row>
    <row r="121" spans="2:82" x14ac:dyDescent="0.35">
      <c r="B121" s="50" t="b">
        <f t="shared" si="22"/>
        <v>1</v>
      </c>
      <c r="C121" s="21">
        <f t="shared" si="23"/>
        <v>29.833333333333321</v>
      </c>
      <c r="D121" s="13">
        <f t="shared" si="24"/>
        <v>1.6657786953962033</v>
      </c>
      <c r="E121" s="143">
        <f t="shared" si="25"/>
        <v>119.57969253395613</v>
      </c>
      <c r="F121" s="52">
        <f t="shared" si="26"/>
        <v>0.62196468330644872</v>
      </c>
      <c r="G121" s="50">
        <f t="shared" si="27"/>
        <v>44.648395253413121</v>
      </c>
      <c r="H121" s="50">
        <f t="shared" si="5"/>
        <v>164.22808778736925</v>
      </c>
      <c r="I121" s="16">
        <f t="shared" si="28"/>
        <v>6.1454506185828883</v>
      </c>
      <c r="J121" s="22">
        <f t="shared" si="29"/>
        <v>2.785075543037702E-2</v>
      </c>
      <c r="K121" s="15">
        <f t="shared" si="59"/>
        <v>783.4697507808836</v>
      </c>
      <c r="L121" s="15">
        <f t="shared" si="6"/>
        <v>529.19267192224493</v>
      </c>
      <c r="M121" s="17">
        <f t="shared" si="30"/>
        <v>0.31033704074326168</v>
      </c>
      <c r="N121" s="15">
        <f t="shared" si="31"/>
        <v>319</v>
      </c>
      <c r="O121" s="17">
        <f t="shared" si="32"/>
        <v>0.60280502154585991</v>
      </c>
      <c r="P121" s="15">
        <f t="shared" si="33"/>
        <v>0</v>
      </c>
      <c r="Q121" s="7">
        <f t="shared" si="34"/>
        <v>0</v>
      </c>
      <c r="R121" s="17">
        <f t="shared" si="7"/>
        <v>0.60280502154585991</v>
      </c>
      <c r="S121" s="17">
        <f t="shared" si="35"/>
        <v>0.41807445042696739</v>
      </c>
      <c r="T121" s="162">
        <f t="shared" si="36"/>
        <v>691.5277164126893</v>
      </c>
      <c r="U121" s="162">
        <f>ABS($L121-$L122)*IF($B121,FORECAST($L121,
INDEX($Z$119:$AJ$119,MATCH($L121,$Z$105:$AJ$105,1)):INDEX($Z$119:$AJ$119,MATCH($L121,$Z$105:$AJ$105,1)+1),
INDEX($Z$105:$AJ$105,MATCH($L121,$Z$105:$AJ$105,1)):INDEX($Z$105:$AJ$105,MATCH($L121,$Z$105:$AJ$105,1)+1)),0)</f>
        <v>0</v>
      </c>
      <c r="V121" s="162">
        <f>ABS($L121-$L122)*IF($B121,FORECAST($L121,
INDEX($Z$120:$AJ$120,MATCH($L121,$Z$105:$AJ$105,1)):INDEX($Z$120:$AJ$120,MATCH($L121,$Z$105:$AJ$105,1)+1),
INDEX($Z$105:$AJ$105,MATCH($L121,$Z$105:$AJ$105,1)):INDEX($Z$105:$AJ$105,MATCH($L121,$Z$105:$AJ$105,1)+1)),0)</f>
        <v>1294.6144490192423</v>
      </c>
      <c r="W121" s="162">
        <f>ABS($L121-$L122)*IF($B121,FORECAST($L121,
INDEX($Z$121:$AJ$121,MATCH($L121,$Z$105:$AJ$105,1)):INDEX($Z$121:$AJ$121,MATCH($L121,$Z$105:$AJ$105,1)+1),
INDEX($Z$105:$AJ$105,MATCH($L121,$Z$105:$AJ$105,1)):INDEX($Z$105:$AJ$105,MATCH($L121,$Z$105:$AJ$105,1)+1)),0)</f>
        <v>1456.6935373181936</v>
      </c>
      <c r="X121" s="162">
        <f>ABS($L121-$L122)*IF($B121,FORECAST($L121,
INDEX($Z$122:$AJ$122,MATCH($L121,$Z$105:$AJ$105,1)):INDEX($Z$122:$AJ$122,MATCH($L121,$Z$105:$AJ$105,1)+1),
INDEX($Z$105:$AJ$105,MATCH($L121,$Z$105:$AJ$105,1)):INDEX($Z$105:$AJ$105,MATCH($L121,$Z$105:$AJ$105,1)+1)),0)</f>
        <v>1156.9894636172244</v>
      </c>
      <c r="Y121" s="37" t="s">
        <v>117</v>
      </c>
      <c r="Z121" s="1">
        <f>IF(ISERROR(Z110),0,Z110)</f>
        <v>357.31837541441553</v>
      </c>
      <c r="AA121" s="1">
        <f t="shared" ref="AA121:AJ121" si="71">IF(ISERROR(AA110),0,AA110)</f>
        <v>357.75196461629542</v>
      </c>
      <c r="AB121" s="1">
        <f t="shared" si="71"/>
        <v>350.92905920979535</v>
      </c>
      <c r="AC121" s="1">
        <f t="shared" si="71"/>
        <v>356.59335803783318</v>
      </c>
      <c r="AD121" s="1">
        <f t="shared" si="71"/>
        <v>349.89918669560666</v>
      </c>
      <c r="AE121" s="1">
        <f t="shared" si="71"/>
        <v>353.63247455954064</v>
      </c>
      <c r="AF121" s="1">
        <f t="shared" si="71"/>
        <v>345.52222851030473</v>
      </c>
      <c r="AG121" s="1">
        <f t="shared" si="71"/>
        <v>307.15947735677611</v>
      </c>
      <c r="AH121" s="1">
        <f t="shared" si="71"/>
        <v>265.06343833931351</v>
      </c>
      <c r="AI121" s="1">
        <f t="shared" si="71"/>
        <v>209.45032257312437</v>
      </c>
      <c r="AJ121" s="1">
        <f t="shared" si="71"/>
        <v>160.91758034198247</v>
      </c>
      <c r="AK121" s="1" t="b">
        <f>IF(SUM(Z121:AJ121)&gt;0,TRUE,FALSE)</f>
        <v>1</v>
      </c>
      <c r="AM121" s="44">
        <f t="shared" si="38"/>
        <v>225</v>
      </c>
      <c r="AN121" s="45">
        <f t="shared" si="55"/>
        <v>979</v>
      </c>
      <c r="AO121" s="54">
        <f t="shared" si="9"/>
        <v>0</v>
      </c>
      <c r="AP121" s="54">
        <f t="shared" si="10"/>
        <v>0</v>
      </c>
      <c r="AQ121" s="54">
        <f t="shared" si="39"/>
        <v>0</v>
      </c>
      <c r="AR121" s="46">
        <f t="shared" si="11"/>
        <v>0</v>
      </c>
      <c r="AS121" s="47">
        <f t="shared" si="40"/>
        <v>0</v>
      </c>
      <c r="AT121" s="47">
        <f t="shared" si="56"/>
        <v>-2.3158281367590795E-6</v>
      </c>
      <c r="AU121" s="48">
        <f t="shared" si="41"/>
        <v>-1.5756894642508779</v>
      </c>
      <c r="AV121" s="48">
        <f t="shared" si="12"/>
        <v>872.17573635208362</v>
      </c>
      <c r="AW121" s="140">
        <f t="shared" si="42"/>
        <v>-197.39209979505577</v>
      </c>
      <c r="AX121" s="53"/>
      <c r="AZ121" s="50">
        <f t="shared" si="43"/>
        <v>164.22808778736925</v>
      </c>
      <c r="BA121" s="50">
        <f t="shared" si="44"/>
        <v>164.22808778736925</v>
      </c>
      <c r="BB121" s="50">
        <f t="shared" si="13"/>
        <v>529.19267192224493</v>
      </c>
      <c r="BD121" s="50">
        <f t="shared" si="14"/>
        <v>225</v>
      </c>
      <c r="BE121" s="50">
        <f t="shared" si="15"/>
        <v>979</v>
      </c>
      <c r="BF121" s="53">
        <f t="shared" si="16"/>
        <v>0</v>
      </c>
      <c r="BG121" s="53">
        <f t="shared" si="45"/>
        <v>0</v>
      </c>
      <c r="BH121" s="53">
        <f t="shared" si="46"/>
        <v>872.17573635208362</v>
      </c>
      <c r="BI121" s="127">
        <f t="shared" si="47"/>
        <v>-197.39209979505577</v>
      </c>
      <c r="BK121" s="44">
        <f t="shared" si="48"/>
        <v>225</v>
      </c>
      <c r="BL121" s="45">
        <f t="shared" si="57"/>
        <v>979</v>
      </c>
      <c r="BM121" s="119" cm="1">
        <f t="array" ref="BM121">IF(($AG$51=0),0,
_xlfn.IFS(BK121&lt;=$BL$102,($AG$53*(1-(BK121/$BL$102))),AND(BK121&gt;$BL$102,BK121&lt;($AG$55+$BL$102)),0,BK121&gt;=($AG$55+$BL$102),($AG$53*((BK121-($AG$55+$BL$102))/$BL$102)))-$AG$54)</f>
        <v>0</v>
      </c>
      <c r="BN121" s="119" cm="1">
        <f t="array" ref="BN121">IF(($AG$51=0),0,
_xlfn.IFS(BK121&lt;=$BL$102,($BL$103*(1-(BK121/$BL$102))),AND(BK121&gt;$BL$102,BK121&lt;($AG$55+$BL$102)),0,BK121&gt;=($AG$55+$BL$102),($BL$103*((BK121-($AG$55+$BL$102))/$BL$102))))</f>
        <v>0</v>
      </c>
      <c r="BO121" s="120">
        <f t="shared" si="17"/>
        <v>0</v>
      </c>
      <c r="BP121" s="121">
        <f t="shared" si="18"/>
        <v>0</v>
      </c>
      <c r="BQ121" s="121">
        <f t="shared" si="58"/>
        <v>0</v>
      </c>
      <c r="BR121" s="48">
        <f t="shared" si="19"/>
        <v>0</v>
      </c>
      <c r="BS121" s="48">
        <f t="shared" si="20"/>
        <v>979</v>
      </c>
      <c r="BU121" s="122"/>
      <c r="BW121" s="50">
        <f t="shared" si="64"/>
        <v>225</v>
      </c>
      <c r="BX121" s="50">
        <f t="shared" si="65"/>
        <v>979</v>
      </c>
      <c r="BY121" s="53">
        <f t="shared" si="66"/>
        <v>0</v>
      </c>
      <c r="BZ121" s="53">
        <f t="shared" si="67"/>
        <v>0</v>
      </c>
      <c r="CA121" s="53">
        <f t="shared" si="68"/>
        <v>979</v>
      </c>
      <c r="CC121" s="126">
        <f t="shared" si="54"/>
        <v>872.17573635208362</v>
      </c>
      <c r="CD121" s="127">
        <f t="shared" si="21"/>
        <v>10.834972364084644</v>
      </c>
    </row>
    <row r="122" spans="2:82" x14ac:dyDescent="0.35">
      <c r="B122" s="50" t="b">
        <f t="shared" si="22"/>
        <v>1</v>
      </c>
      <c r="C122" s="21">
        <f t="shared" si="23"/>
        <v>31.822222222222209</v>
      </c>
      <c r="D122" s="13">
        <f t="shared" si="24"/>
        <v>1.6936294508265803</v>
      </c>
      <c r="E122" s="143">
        <f t="shared" si="25"/>
        <v>121.57898858715171</v>
      </c>
      <c r="F122" s="52">
        <f t="shared" si="26"/>
        <v>0.66083747601310172</v>
      </c>
      <c r="G122" s="50">
        <f t="shared" si="27"/>
        <v>47.438919956751434</v>
      </c>
      <c r="H122" s="50">
        <f t="shared" si="5"/>
        <v>169.01790854390316</v>
      </c>
      <c r="I122" s="16">
        <f t="shared" si="28"/>
        <v>6.2481986262628055</v>
      </c>
      <c r="J122" s="22">
        <f t="shared" si="29"/>
        <v>2.8316402265809851E-2</v>
      </c>
      <c r="K122" s="15">
        <f t="shared" si="59"/>
        <v>777.32530016230066</v>
      </c>
      <c r="L122" s="15">
        <f t="shared" si="6"/>
        <v>525.04241821161816</v>
      </c>
      <c r="M122" s="17">
        <f t="shared" si="30"/>
        <v>0.32191286395412827</v>
      </c>
      <c r="N122" s="15">
        <f t="shared" si="31"/>
        <v>319</v>
      </c>
      <c r="O122" s="17">
        <f t="shared" si="32"/>
        <v>0.60756995803608993</v>
      </c>
      <c r="P122" s="15">
        <f t="shared" si="33"/>
        <v>0</v>
      </c>
      <c r="Q122" s="7">
        <f t="shared" si="34"/>
        <v>0</v>
      </c>
      <c r="R122" s="17">
        <f t="shared" si="7"/>
        <v>0.60756995803608993</v>
      </c>
      <c r="S122" s="17">
        <f t="shared" si="35"/>
        <v>0.421379164444385</v>
      </c>
      <c r="T122" s="162">
        <f t="shared" si="36"/>
        <v>723.37341391451298</v>
      </c>
      <c r="U122" s="162">
        <f>ABS($L122-$L123)*IF($B122,FORECAST($L122,
INDEX($Z$119:$AJ$119,MATCH($L122,$Z$105:$AJ$105,1)):INDEX($Z$119:$AJ$119,MATCH($L122,$Z$105:$AJ$105,1)+1),
INDEX($Z$105:$AJ$105,MATCH($L122,$Z$105:$AJ$105,1)):INDEX($Z$105:$AJ$105,MATCH($L122,$Z$105:$AJ$105,1)+1)),0)</f>
        <v>0</v>
      </c>
      <c r="V122" s="162">
        <f>ABS($L122-$L123)*IF($B122,FORECAST($L122,
INDEX($Z$120:$AJ$120,MATCH($L122,$Z$105:$AJ$105,1)):INDEX($Z$120:$AJ$120,MATCH($L122,$Z$105:$AJ$105,1)+1),
INDEX($Z$105:$AJ$105,MATCH($L122,$Z$105:$AJ$105,1)):INDEX($Z$105:$AJ$105,MATCH($L122,$Z$105:$AJ$105,1)+1)),0)</f>
        <v>1317.9539528346236</v>
      </c>
      <c r="W122" s="162">
        <f>ABS($L122-$L123)*IF($B122,FORECAST($L122,
INDEX($Z$121:$AJ$121,MATCH($L122,$Z$105:$AJ$105,1)):INDEX($Z$121:$AJ$121,MATCH($L122,$Z$105:$AJ$105,1)+1),
INDEX($Z$105:$AJ$105,MATCH($L122,$Z$105:$AJ$105,1)):INDEX($Z$105:$AJ$105,MATCH($L122,$Z$105:$AJ$105,1)+1)),0)</f>
        <v>1480.3986890813469</v>
      </c>
      <c r="X122" s="162">
        <f>ABS($L122-$L123)*IF($B122,FORECAST($L122,
INDEX($Z$122:$AJ$122,MATCH($L122,$Z$105:$AJ$105,1)):INDEX($Z$122:$AJ$122,MATCH($L122,$Z$105:$AJ$105,1)+1),
INDEX($Z$105:$AJ$105,MATCH($L122,$Z$105:$AJ$105,1)):INDEX($Z$105:$AJ$105,MATCH($L122,$Z$105:$AJ$105,1)+1)),0)</f>
        <v>1178.6137540964378</v>
      </c>
      <c r="Y122" s="37" t="s">
        <v>118</v>
      </c>
      <c r="Z122" s="1">
        <f>IF(ISERROR(Z111),0,Z111)</f>
        <v>323.53182415746505</v>
      </c>
      <c r="AA122" s="1">
        <f t="shared" ref="AA122:AJ122" si="72">IF(ISERROR(AA111),0,AA111)</f>
        <v>321.44895849114414</v>
      </c>
      <c r="AB122" s="1">
        <f t="shared" si="72"/>
        <v>306.00087077831387</v>
      </c>
      <c r="AC122" s="1">
        <f t="shared" si="72"/>
        <v>287.07696333009676</v>
      </c>
      <c r="AD122" s="1">
        <f t="shared" si="72"/>
        <v>282.57127108052123</v>
      </c>
      <c r="AE122" s="1">
        <f t="shared" si="72"/>
        <v>269.56913058888898</v>
      </c>
      <c r="AF122" s="1">
        <f t="shared" si="72"/>
        <v>248.97168030511529</v>
      </c>
      <c r="AG122" s="1">
        <f t="shared" si="72"/>
        <v>225.41334654304904</v>
      </c>
      <c r="AH122" s="1">
        <f t="shared" si="72"/>
        <v>197.73552272422805</v>
      </c>
      <c r="AI122" s="1">
        <f t="shared" si="72"/>
        <v>158.21416499223716</v>
      </c>
      <c r="AJ122" s="1">
        <f t="shared" si="72"/>
        <v>132.59608620179355</v>
      </c>
      <c r="AK122" s="1" t="b">
        <f>IF(SUM(Z122:AJ122)&gt;0,TRUE,FALSE)</f>
        <v>1</v>
      </c>
      <c r="AM122" s="44">
        <f t="shared" si="38"/>
        <v>240</v>
      </c>
      <c r="AN122" s="45">
        <f t="shared" si="55"/>
        <v>979</v>
      </c>
      <c r="AO122" s="54">
        <f t="shared" si="9"/>
        <v>0</v>
      </c>
      <c r="AP122" s="54">
        <f t="shared" si="10"/>
        <v>0</v>
      </c>
      <c r="AQ122" s="54">
        <f t="shared" si="39"/>
        <v>0</v>
      </c>
      <c r="AR122" s="46">
        <f t="shared" si="11"/>
        <v>0</v>
      </c>
      <c r="AS122" s="47">
        <f t="shared" si="40"/>
        <v>0</v>
      </c>
      <c r="AT122" s="47">
        <f t="shared" si="56"/>
        <v>-1.3755318759570219E-5</v>
      </c>
      <c r="AU122" s="48">
        <f t="shared" si="41"/>
        <v>-9.3591188840115773</v>
      </c>
      <c r="AV122" s="48">
        <f t="shared" si="12"/>
        <v>864.39230693232298</v>
      </c>
      <c r="AW122" s="140">
        <f t="shared" si="42"/>
        <v>-197.39209979505577</v>
      </c>
      <c r="AX122" s="53"/>
      <c r="AZ122" s="50">
        <f t="shared" si="43"/>
        <v>169.01790854390316</v>
      </c>
      <c r="BA122" s="50">
        <f t="shared" si="44"/>
        <v>169.01790854390316</v>
      </c>
      <c r="BB122" s="50">
        <f t="shared" si="13"/>
        <v>525.04241821161816</v>
      </c>
      <c r="BD122" s="50">
        <f t="shared" si="14"/>
        <v>240</v>
      </c>
      <c r="BE122" s="50">
        <f t="shared" si="15"/>
        <v>979</v>
      </c>
      <c r="BF122" s="53">
        <f t="shared" si="16"/>
        <v>0</v>
      </c>
      <c r="BG122" s="53">
        <f t="shared" si="45"/>
        <v>0</v>
      </c>
      <c r="BH122" s="53">
        <f t="shared" si="46"/>
        <v>864.39230693232298</v>
      </c>
      <c r="BI122" s="127">
        <f t="shared" si="47"/>
        <v>-197.39209979505577</v>
      </c>
      <c r="BK122" s="44">
        <f t="shared" si="48"/>
        <v>240</v>
      </c>
      <c r="BL122" s="45">
        <f t="shared" si="57"/>
        <v>979</v>
      </c>
      <c r="BM122" s="119" cm="1">
        <f t="array" ref="BM122">IF(($AG$51=0),0,
_xlfn.IFS(BK122&lt;=$BL$102,($AG$53*(1-(BK122/$BL$102))),AND(BK122&gt;$BL$102,BK122&lt;($AG$55+$BL$102)),0,BK122&gt;=($AG$55+$BL$102),($AG$53*((BK122-($AG$55+$BL$102))/$BL$102)))-$AG$54)</f>
        <v>0</v>
      </c>
      <c r="BN122" s="119" cm="1">
        <f t="array" ref="BN122">IF(($AG$51=0),0,
_xlfn.IFS(BK122&lt;=$BL$102,($BL$103*(1-(BK122/$BL$102))),AND(BK122&gt;$BL$102,BK122&lt;($AG$55+$BL$102)),0,BK122&gt;=($AG$55+$BL$102),($BL$103*((BK122-($AG$55+$BL$102))/$BL$102))))</f>
        <v>0</v>
      </c>
      <c r="BO122" s="120">
        <f t="shared" si="17"/>
        <v>0</v>
      </c>
      <c r="BP122" s="121">
        <f t="shared" si="18"/>
        <v>0</v>
      </c>
      <c r="BQ122" s="121">
        <f t="shared" si="58"/>
        <v>0</v>
      </c>
      <c r="BR122" s="48">
        <f t="shared" si="19"/>
        <v>0</v>
      </c>
      <c r="BS122" s="48">
        <f t="shared" si="20"/>
        <v>979</v>
      </c>
      <c r="BU122" s="122"/>
      <c r="BW122" s="50">
        <f t="shared" si="64"/>
        <v>240</v>
      </c>
      <c r="BX122" s="50">
        <f t="shared" si="65"/>
        <v>979</v>
      </c>
      <c r="BY122" s="53">
        <f t="shared" si="66"/>
        <v>0</v>
      </c>
      <c r="BZ122" s="53">
        <f t="shared" si="67"/>
        <v>0</v>
      </c>
      <c r="CA122" s="53">
        <f t="shared" si="68"/>
        <v>979</v>
      </c>
      <c r="CC122" s="126">
        <f t="shared" si="54"/>
        <v>864.39230693232298</v>
      </c>
      <c r="CD122" s="127">
        <f t="shared" si="21"/>
        <v>10.932535984196214</v>
      </c>
    </row>
    <row r="123" spans="2:82" x14ac:dyDescent="0.35">
      <c r="B123" s="50" t="b">
        <f t="shared" si="22"/>
        <v>1</v>
      </c>
      <c r="C123" s="21">
        <f t="shared" si="23"/>
        <v>33.811111111111096</v>
      </c>
      <c r="D123" s="13">
        <f t="shared" si="24"/>
        <v>1.7219458530923901</v>
      </c>
      <c r="E123" s="143">
        <f t="shared" si="25"/>
        <v>123.61171159289766</v>
      </c>
      <c r="F123" s="52">
        <f t="shared" si="26"/>
        <v>0.69971026871975472</v>
      </c>
      <c r="G123" s="50">
        <f t="shared" si="27"/>
        <v>50.229444660089754</v>
      </c>
      <c r="H123" s="50">
        <f t="shared" si="5"/>
        <v>173.84115625298742</v>
      </c>
      <c r="I123" s="16">
        <f t="shared" si="28"/>
        <v>6.3526645149798373</v>
      </c>
      <c r="J123" s="22">
        <f t="shared" si="29"/>
        <v>2.878983441880402E-2</v>
      </c>
      <c r="K123" s="15">
        <f t="shared" si="59"/>
        <v>771.07810153603782</v>
      </c>
      <c r="L123" s="15">
        <f t="shared" si="6"/>
        <v>520.82276361772233</v>
      </c>
      <c r="M123" s="17">
        <f t="shared" si="30"/>
        <v>0.33378179372471656</v>
      </c>
      <c r="N123" s="15">
        <f t="shared" si="31"/>
        <v>319</v>
      </c>
      <c r="O123" s="17">
        <f t="shared" si="32"/>
        <v>0.61249242983193064</v>
      </c>
      <c r="P123" s="15">
        <f t="shared" si="33"/>
        <v>0</v>
      </c>
      <c r="Q123" s="7">
        <f t="shared" si="34"/>
        <v>0</v>
      </c>
      <c r="R123" s="17">
        <f t="shared" si="7"/>
        <v>0.61249242983193064</v>
      </c>
      <c r="S123" s="17">
        <f t="shared" si="35"/>
        <v>0.42479313681891967</v>
      </c>
      <c r="T123" s="162">
        <f t="shared" si="36"/>
        <v>756.23536803125762</v>
      </c>
      <c r="U123" s="162">
        <f>ABS($L123-$L124)*IF($B123,FORECAST($L123,
INDEX($Z$119:$AJ$119,MATCH($L123,$Z$105:$AJ$105,1)):INDEX($Z$119:$AJ$119,MATCH($L123,$Z$105:$AJ$105,1)+1),
INDEX($Z$105:$AJ$105,MATCH($L123,$Z$105:$AJ$105,1)):INDEX($Z$105:$AJ$105,MATCH($L123,$Z$105:$AJ$105,1)+1)),0)</f>
        <v>0</v>
      </c>
      <c r="V123" s="162">
        <f>ABS($L123-$L124)*IF($B123,FORECAST($L123,
INDEX($Z$120:$AJ$120,MATCH($L123,$Z$105:$AJ$105,1)):INDEX($Z$120:$AJ$120,MATCH($L123,$Z$105:$AJ$105,1)+1),
INDEX($Z$105:$AJ$105,MATCH($L123,$Z$105:$AJ$105,1)):INDEX($Z$105:$AJ$105,MATCH($L123,$Z$105:$AJ$105,1)+1)),0)</f>
        <v>1341.7407047224026</v>
      </c>
      <c r="W123" s="162">
        <f>ABS($L123-$L124)*IF($B123,FORECAST($L123,
INDEX($Z$121:$AJ$121,MATCH($L123,$Z$105:$AJ$105,1)):INDEX($Z$121:$AJ$121,MATCH($L123,$Z$105:$AJ$105,1)+1),
INDEX($Z$105:$AJ$105,MATCH($L123,$Z$105:$AJ$105,1)):INDEX($Z$105:$AJ$105,MATCH($L123,$Z$105:$AJ$105,1)+1)),0)</f>
        <v>1504.4781255960684</v>
      </c>
      <c r="X123" s="162">
        <f>ABS($L123-$L124)*IF($B123,FORECAST($L123,
INDEX($Z$122:$AJ$122,MATCH($L123,$Z$105:$AJ$105,1)):INDEX($Z$122:$AJ$122,MATCH($L123,$Z$105:$AJ$105,1)+1),
INDEX($Z$105:$AJ$105,MATCH($L123,$Z$105:$AJ$105,1)):INDEX($Z$105:$AJ$105,MATCH($L123,$Z$105:$AJ$105,1)+1)),0)</f>
        <v>1200.6763845572264</v>
      </c>
      <c r="AI123" s="116"/>
      <c r="AM123" s="44">
        <f t="shared" si="38"/>
        <v>255</v>
      </c>
      <c r="AN123" s="45">
        <f t="shared" si="55"/>
        <v>979</v>
      </c>
      <c r="AO123" s="54">
        <f t="shared" si="9"/>
        <v>1.990007801214233E-2</v>
      </c>
      <c r="AP123" s="54">
        <f t="shared" si="10"/>
        <v>1.990007801214233E-2</v>
      </c>
      <c r="AQ123" s="54">
        <f t="shared" si="39"/>
        <v>3.9800156024284661E-2</v>
      </c>
      <c r="AR123" s="46">
        <f t="shared" si="11"/>
        <v>0.12434123401218902</v>
      </c>
      <c r="AS123" s="47">
        <f t="shared" si="40"/>
        <v>6.9948346295615562E-6</v>
      </c>
      <c r="AT123" s="47">
        <f t="shared" si="56"/>
        <v>-2.0074378119800076E-5</v>
      </c>
      <c r="AU123" s="48">
        <f t="shared" si="41"/>
        <v>-8.8993213907582884</v>
      </c>
      <c r="AV123" s="48">
        <f t="shared" si="12"/>
        <v>864.85210442557627</v>
      </c>
      <c r="AW123" s="140">
        <f t="shared" si="42"/>
        <v>-188.46613227394172</v>
      </c>
      <c r="AX123" s="53"/>
      <c r="AZ123" s="50">
        <f t="shared" si="43"/>
        <v>173.84115625298742</v>
      </c>
      <c r="BA123" s="50">
        <f t="shared" si="44"/>
        <v>173.84115625298742</v>
      </c>
      <c r="BB123" s="50">
        <f t="shared" si="13"/>
        <v>520.82276361772233</v>
      </c>
      <c r="BD123" s="50">
        <f t="shared" si="14"/>
        <v>255</v>
      </c>
      <c r="BE123" s="50">
        <f t="shared" si="15"/>
        <v>979</v>
      </c>
      <c r="BF123" s="53">
        <f t="shared" si="16"/>
        <v>3.9800156024284661E-2</v>
      </c>
      <c r="BG123" s="53">
        <f t="shared" si="45"/>
        <v>6.9948346295615562E-6</v>
      </c>
      <c r="BH123" s="53">
        <f t="shared" si="46"/>
        <v>864.85210442557627</v>
      </c>
      <c r="BI123" s="127">
        <f t="shared" si="47"/>
        <v>-188.46613227394172</v>
      </c>
      <c r="BK123" s="44">
        <f t="shared" si="48"/>
        <v>255</v>
      </c>
      <c r="BL123" s="45">
        <f t="shared" si="57"/>
        <v>979</v>
      </c>
      <c r="BM123" s="119" cm="1">
        <f t="array" ref="BM123">IF(($AG$51=0),0,
_xlfn.IFS(BK123&lt;=$BL$102,($AG$53*(1-(BK123/$BL$102))),AND(BK123&gt;$BL$102,BK123&lt;($AG$55+$BL$102)),0,BK123&gt;=($AG$55+$BL$102),($AG$53*((BK123-($AG$55+$BL$102))/$BL$102)))-$AG$54)</f>
        <v>0</v>
      </c>
      <c r="BN123" s="119" cm="1">
        <f t="array" ref="BN123">IF(($AG$51=0),0,
_xlfn.IFS(BK123&lt;=$BL$102,($BL$103*(1-(BK123/$BL$102))),AND(BK123&gt;$BL$102,BK123&lt;($AG$55+$BL$102)),0,BK123&gt;=($AG$55+$BL$102),($BL$103*((BK123-($AG$55+$BL$102))/$BL$102))))</f>
        <v>0</v>
      </c>
      <c r="BO123" s="120">
        <f t="shared" si="17"/>
        <v>0</v>
      </c>
      <c r="BP123" s="121">
        <f t="shared" si="18"/>
        <v>0</v>
      </c>
      <c r="BQ123" s="121">
        <f t="shared" si="58"/>
        <v>0</v>
      </c>
      <c r="BR123" s="48">
        <f t="shared" si="19"/>
        <v>0</v>
      </c>
      <c r="BS123" s="48">
        <f t="shared" si="20"/>
        <v>979</v>
      </c>
      <c r="BU123" s="122"/>
      <c r="BW123" s="50">
        <f t="shared" si="64"/>
        <v>255</v>
      </c>
      <c r="BX123" s="50">
        <f t="shared" si="65"/>
        <v>979</v>
      </c>
      <c r="BY123" s="53">
        <f t="shared" si="66"/>
        <v>0</v>
      </c>
      <c r="BZ123" s="53">
        <f t="shared" si="67"/>
        <v>0</v>
      </c>
      <c r="CA123" s="53">
        <f t="shared" si="68"/>
        <v>979</v>
      </c>
      <c r="CC123" s="126">
        <f t="shared" si="54"/>
        <v>864.85210442557627</v>
      </c>
      <c r="CD123" s="127">
        <f t="shared" si="21"/>
        <v>10.926723715700003</v>
      </c>
    </row>
    <row r="124" spans="2:82" x14ac:dyDescent="0.35">
      <c r="B124" s="50" t="b">
        <f t="shared" si="22"/>
        <v>1</v>
      </c>
      <c r="C124" s="21">
        <f t="shared" si="23"/>
        <v>35.799999999999983</v>
      </c>
      <c r="D124" s="13">
        <f t="shared" si="24"/>
        <v>1.7507356875111941</v>
      </c>
      <c r="E124" s="143">
        <f t="shared" si="25"/>
        <v>125.67842042848237</v>
      </c>
      <c r="F124" s="52">
        <f t="shared" si="26"/>
        <v>0.73858306142640773</v>
      </c>
      <c r="G124" s="50">
        <f t="shared" si="27"/>
        <v>53.019969363428068</v>
      </c>
      <c r="H124" s="50">
        <f t="shared" si="5"/>
        <v>178.69838979191044</v>
      </c>
      <c r="I124" s="16">
        <f t="shared" si="28"/>
        <v>6.4588770066072776</v>
      </c>
      <c r="J124" s="22">
        <f t="shared" si="29"/>
        <v>2.9271182054894693E-2</v>
      </c>
      <c r="K124" s="15">
        <f t="shared" si="59"/>
        <v>764.7264370210579</v>
      </c>
      <c r="L124" s="15">
        <f t="shared" si="6"/>
        <v>516.53254780213297</v>
      </c>
      <c r="M124" s="17">
        <f t="shared" si="30"/>
        <v>0.34595765659352806</v>
      </c>
      <c r="N124" s="15">
        <f t="shared" si="31"/>
        <v>319</v>
      </c>
      <c r="O124" s="17">
        <f t="shared" si="32"/>
        <v>0.61757966919482232</v>
      </c>
      <c r="P124" s="15">
        <f t="shared" si="33"/>
        <v>0</v>
      </c>
      <c r="Q124" s="7">
        <f t="shared" si="34"/>
        <v>0</v>
      </c>
      <c r="R124" s="17">
        <f t="shared" si="7"/>
        <v>0.61757966919482232</v>
      </c>
      <c r="S124" s="17">
        <f t="shared" si="35"/>
        <v>0.42832138347382842</v>
      </c>
      <c r="T124" s="162">
        <f t="shared" si="36"/>
        <v>790.1435351939441</v>
      </c>
      <c r="U124" s="162">
        <f>ABS($L124-$L125)*IF($B124,FORECAST($L124,
INDEX($Z$119:$AJ$119,MATCH($L124,$Z$105:$AJ$105,1)):INDEX($Z$119:$AJ$119,MATCH($L124,$Z$105:$AJ$105,1)+1),
INDEX($Z$105:$AJ$105,MATCH($L124,$Z$105:$AJ$105,1)):INDEX($Z$105:$AJ$105,MATCH($L124,$Z$105:$AJ$105,1)+1)),0)</f>
        <v>0</v>
      </c>
      <c r="V124" s="162">
        <f>ABS($L124-$L125)*IF($B124,FORECAST($L124,
INDEX($Z$120:$AJ$120,MATCH($L124,$Z$105:$AJ$105,1)):INDEX($Z$120:$AJ$120,MATCH($L124,$Z$105:$AJ$105,1)+1),
INDEX($Z$105:$AJ$105,MATCH($L124,$Z$105:$AJ$105,1)):INDEX($Z$105:$AJ$105,MATCH($L124,$Z$105:$AJ$105,1)+1)),0)</f>
        <v>1365.9841052963168</v>
      </c>
      <c r="W124" s="162">
        <f>ABS($L124-$L125)*IF($B124,FORECAST($L124,
INDEX($Z$121:$AJ$121,MATCH($L124,$Z$105:$AJ$105,1)):INDEX($Z$121:$AJ$121,MATCH($L124,$Z$105:$AJ$105,1)+1),
INDEX($Z$105:$AJ$105,MATCH($L124,$Z$105:$AJ$105,1)):INDEX($Z$105:$AJ$105,MATCH($L124,$Z$105:$AJ$105,1)+1)),0)</f>
        <v>1528.9373611380997</v>
      </c>
      <c r="X124" s="162">
        <f>ABS($L124-$L125)*IF($B124,FORECAST($L124,
INDEX($Z$122:$AJ$122,MATCH($L124,$Z$105:$AJ$105,1)):INDEX($Z$122:$AJ$122,MATCH($L124,$Z$105:$AJ$105,1)+1),
INDEX($Z$105:$AJ$105,MATCH($L124,$Z$105:$AJ$105,1)):INDEX($Z$105:$AJ$105,MATCH($L124,$Z$105:$AJ$105,1)+1)),0)</f>
        <v>1223.1872732852289</v>
      </c>
      <c r="AI124" s="116"/>
      <c r="AM124" s="44">
        <f t="shared" si="38"/>
        <v>270</v>
      </c>
      <c r="AN124" s="45">
        <f t="shared" si="55"/>
        <v>979</v>
      </c>
      <c r="AO124" s="54">
        <f t="shared" si="9"/>
        <v>7.8400289014098234E-2</v>
      </c>
      <c r="AP124" s="54">
        <f t="shared" si="10"/>
        <v>7.8400289014098234E-2</v>
      </c>
      <c r="AQ124" s="54">
        <f t="shared" ref="AQ124:AQ170" si="73">(AO124+AP124)</f>
        <v>0.15680057802819647</v>
      </c>
      <c r="AR124" s="46">
        <f t="shared" si="11"/>
        <v>0.48986685765639287</v>
      </c>
      <c r="AS124" s="47">
        <f t="shared" si="40"/>
        <v>2.7557533002073464E-5</v>
      </c>
      <c r="AT124" s="47">
        <f t="shared" si="56"/>
        <v>-3.4446321632534593E-6</v>
      </c>
      <c r="AU124" s="48">
        <f t="shared" si="41"/>
        <v>16.406417730733132</v>
      </c>
      <c r="AV124" s="48">
        <f t="shared" si="12"/>
        <v>890.15784354706761</v>
      </c>
      <c r="AW124" s="140">
        <f t="shared" si="42"/>
        <v>-162.22648723018025</v>
      </c>
      <c r="AX124" s="53"/>
      <c r="AZ124" s="50">
        <f t="shared" si="43"/>
        <v>178.69838979191044</v>
      </c>
      <c r="BA124" s="50">
        <f t="shared" si="44"/>
        <v>178.69838979191044</v>
      </c>
      <c r="BB124" s="50">
        <f t="shared" si="13"/>
        <v>516.53254780213297</v>
      </c>
      <c r="BD124" s="50">
        <f t="shared" si="14"/>
        <v>270</v>
      </c>
      <c r="BE124" s="50">
        <f t="shared" si="15"/>
        <v>979</v>
      </c>
      <c r="BF124" s="53">
        <f t="shared" si="16"/>
        <v>0.15680057802819647</v>
      </c>
      <c r="BG124" s="53">
        <f t="shared" si="45"/>
        <v>2.7557533002073464E-5</v>
      </c>
      <c r="BH124" s="53">
        <f t="shared" si="46"/>
        <v>890.15784354706761</v>
      </c>
      <c r="BI124" s="127">
        <f t="shared" si="47"/>
        <v>-162.22648723018025</v>
      </c>
      <c r="BK124" s="44">
        <f t="shared" si="48"/>
        <v>270</v>
      </c>
      <c r="BL124" s="45">
        <f t="shared" si="57"/>
        <v>979</v>
      </c>
      <c r="BM124" s="119" cm="1">
        <f t="array" ref="BM124">IF(($AG$51=0),0,
_xlfn.IFS(BK124&lt;=$BL$102,($AG$53*(1-(BK124/$BL$102))),AND(BK124&gt;$BL$102,BK124&lt;($AG$55+$BL$102)),0,BK124&gt;=($AG$55+$BL$102),($AG$53*((BK124-($AG$55+$BL$102))/$BL$102)))-$AG$54)</f>
        <v>0</v>
      </c>
      <c r="BN124" s="119" cm="1">
        <f t="array" ref="BN124">IF(($AG$51=0),0,
_xlfn.IFS(BK124&lt;=$BL$102,($BL$103*(1-(BK124/$BL$102))),AND(BK124&gt;$BL$102,BK124&lt;($AG$55+$BL$102)),0,BK124&gt;=($AG$55+$BL$102),($BL$103*((BK124-($AG$55+$BL$102))/$BL$102))))</f>
        <v>0</v>
      </c>
      <c r="BO124" s="120">
        <f t="shared" si="17"/>
        <v>0</v>
      </c>
      <c r="BP124" s="121">
        <f t="shared" si="18"/>
        <v>0</v>
      </c>
      <c r="BQ124" s="121">
        <f t="shared" si="58"/>
        <v>0</v>
      </c>
      <c r="BR124" s="48">
        <f t="shared" si="19"/>
        <v>0</v>
      </c>
      <c r="BS124" s="48">
        <f t="shared" si="20"/>
        <v>979</v>
      </c>
      <c r="BU124" s="122"/>
      <c r="BW124" s="50">
        <f t="shared" si="64"/>
        <v>270</v>
      </c>
      <c r="BX124" s="50">
        <f t="shared" si="65"/>
        <v>979</v>
      </c>
      <c r="BY124" s="53">
        <f t="shared" si="66"/>
        <v>0</v>
      </c>
      <c r="BZ124" s="53">
        <f t="shared" si="67"/>
        <v>0</v>
      </c>
      <c r="CA124" s="53">
        <f t="shared" si="68"/>
        <v>979</v>
      </c>
      <c r="CC124" s="126">
        <f t="shared" si="54"/>
        <v>890.15784354706761</v>
      </c>
      <c r="CD124" s="127">
        <f t="shared" si="21"/>
        <v>10.616094739270054</v>
      </c>
    </row>
    <row r="125" spans="2:82" x14ac:dyDescent="0.35">
      <c r="B125" s="50" t="b">
        <f t="shared" si="22"/>
        <v>1</v>
      </c>
      <c r="C125" s="21">
        <f t="shared" si="23"/>
        <v>37.78888888888887</v>
      </c>
      <c r="D125" s="13">
        <f t="shared" si="24"/>
        <v>1.7800068695660889</v>
      </c>
      <c r="E125" s="143">
        <f t="shared" si="25"/>
        <v>127.77968331526532</v>
      </c>
      <c r="F125" s="52">
        <f t="shared" si="26"/>
        <v>0.77745585413306073</v>
      </c>
      <c r="G125" s="50">
        <f t="shared" si="27"/>
        <v>55.810494066766388</v>
      </c>
      <c r="H125" s="50">
        <f t="shared" si="5"/>
        <v>183.5901773820317</v>
      </c>
      <c r="I125" s="16">
        <f t="shared" si="28"/>
        <v>6.5668653032297888</v>
      </c>
      <c r="J125" s="22">
        <f t="shared" si="29"/>
        <v>2.9760577515901592E-2</v>
      </c>
      <c r="K125" s="15">
        <f t="shared" si="59"/>
        <v>758.2685600144506</v>
      </c>
      <c r="L125" s="15">
        <f t="shared" si="6"/>
        <v>512.17059102630913</v>
      </c>
      <c r="M125" s="17">
        <f t="shared" si="30"/>
        <v>0.35845513311130561</v>
      </c>
      <c r="N125" s="15">
        <f t="shared" si="31"/>
        <v>319</v>
      </c>
      <c r="O125" s="17">
        <f t="shared" si="32"/>
        <v>0.62283935389725187</v>
      </c>
      <c r="P125" s="15">
        <f t="shared" si="33"/>
        <v>0</v>
      </c>
      <c r="Q125" s="7">
        <f t="shared" si="34"/>
        <v>0</v>
      </c>
      <c r="R125" s="17">
        <f t="shared" si="7"/>
        <v>0.62283935389725187</v>
      </c>
      <c r="S125" s="17">
        <f t="shared" si="35"/>
        <v>0.43196922931583598</v>
      </c>
      <c r="T125" s="162">
        <f t="shared" si="36"/>
        <v>825.12875389062913</v>
      </c>
      <c r="U125" s="162">
        <f>ABS($L125-$L126)*IF($B125,FORECAST($L125,
INDEX($Z$119:$AJ$119,MATCH($L125,$Z$105:$AJ$105,1)):INDEX($Z$119:$AJ$119,MATCH($L125,$Z$105:$AJ$105,1)+1),
INDEX($Z$105:$AJ$105,MATCH($L125,$Z$105:$AJ$105,1)):INDEX($Z$105:$AJ$105,MATCH($L125,$Z$105:$AJ$105,1)+1)),0)</f>
        <v>0</v>
      </c>
      <c r="V125" s="162">
        <f>ABS($L125-$L126)*IF($B125,FORECAST($L125,
INDEX($Z$120:$AJ$120,MATCH($L125,$Z$105:$AJ$105,1)):INDEX($Z$120:$AJ$120,MATCH($L125,$Z$105:$AJ$105,1)+1),
INDEX($Z$105:$AJ$105,MATCH($L125,$Z$105:$AJ$105,1)):INDEX($Z$105:$AJ$105,MATCH($L125,$Z$105:$AJ$105,1)+1)),0)</f>
        <v>1390.6937771812936</v>
      </c>
      <c r="W125" s="162">
        <f>ABS($L125-$L126)*IF($B125,FORECAST($L125,
INDEX($Z$121:$AJ$121,MATCH($L125,$Z$105:$AJ$105,1)):INDEX($Z$121:$AJ$121,MATCH($L125,$Z$105:$AJ$105,1)+1),
INDEX($Z$105:$AJ$105,MATCH($L125,$Z$105:$AJ$105,1)):INDEX($Z$105:$AJ$105,MATCH($L125,$Z$105:$AJ$105,1)+1)),0)</f>
        <v>1553.7819771078739</v>
      </c>
      <c r="X125" s="162">
        <f>ABS($L125-$L126)*IF($B125,FORECAST($L125,
INDEX($Z$122:$AJ$122,MATCH($L125,$Z$105:$AJ$105,1)):INDEX($Z$122:$AJ$122,MATCH($L125,$Z$105:$AJ$105,1)+1),
INDEX($Z$105:$AJ$105,MATCH($L125,$Z$105:$AJ$105,1)):INDEX($Z$105:$AJ$105,MATCH($L125,$Z$105:$AJ$105,1)+1)),0)</f>
        <v>1246.1565917097396</v>
      </c>
      <c r="AM125" s="44">
        <f t="shared" si="38"/>
        <v>285</v>
      </c>
      <c r="AN125" s="45">
        <f t="shared" si="55"/>
        <v>979</v>
      </c>
      <c r="AO125" s="54">
        <f t="shared" si="9"/>
        <v>0.13510046739247628</v>
      </c>
      <c r="AP125" s="54">
        <f t="shared" si="10"/>
        <v>0.13510046739247628</v>
      </c>
      <c r="AQ125" s="54">
        <f t="shared" si="73"/>
        <v>0.27020093478495255</v>
      </c>
      <c r="AR125" s="46">
        <f t="shared" si="11"/>
        <v>0.84414537575953785</v>
      </c>
      <c r="AS125" s="47">
        <f t="shared" si="40"/>
        <v>4.7487523778059344E-5</v>
      </c>
      <c r="AT125" s="47">
        <f t="shared" si="56"/>
        <v>1.2568474972661498E-6</v>
      </c>
      <c r="AU125" s="48">
        <f t="shared" si="41"/>
        <v>33.165670215731467</v>
      </c>
      <c r="AV125" s="48">
        <f t="shared" si="12"/>
        <v>906.91709603206596</v>
      </c>
      <c r="AW125" s="140">
        <f t="shared" si="42"/>
        <v>-136.79422760094818</v>
      </c>
      <c r="AX125" s="53"/>
      <c r="AZ125" s="50">
        <f t="shared" si="43"/>
        <v>183.5901773820317</v>
      </c>
      <c r="BA125" s="50">
        <f t="shared" si="44"/>
        <v>183.5901773820317</v>
      </c>
      <c r="BB125" s="50">
        <f t="shared" si="13"/>
        <v>512.17059102630913</v>
      </c>
      <c r="BD125" s="50">
        <f t="shared" si="14"/>
        <v>285</v>
      </c>
      <c r="BE125" s="50">
        <f t="shared" si="15"/>
        <v>979</v>
      </c>
      <c r="BF125" s="53">
        <f t="shared" si="16"/>
        <v>0.27020093478495255</v>
      </c>
      <c r="BG125" s="53">
        <f t="shared" si="45"/>
        <v>4.7487523778059344E-5</v>
      </c>
      <c r="BH125" s="53">
        <f t="shared" si="46"/>
        <v>906.91709603206596</v>
      </c>
      <c r="BI125" s="127">
        <f t="shared" si="47"/>
        <v>-136.79422760094818</v>
      </c>
      <c r="BK125" s="44">
        <f t="shared" si="48"/>
        <v>285</v>
      </c>
      <c r="BL125" s="45">
        <f t="shared" si="57"/>
        <v>979</v>
      </c>
      <c r="BM125" s="119" cm="1">
        <f t="array" ref="BM125">IF(($AG$51=0),0,
_xlfn.IFS(BK125&lt;=$BL$102,($AG$53*(1-(BK125/$BL$102))),AND(BK125&gt;$BL$102,BK125&lt;($AG$55+$BL$102)),0,BK125&gt;=($AG$55+$BL$102),($AG$53*((BK125-($AG$55+$BL$102))/$BL$102)))-$AG$54)</f>
        <v>0</v>
      </c>
      <c r="BN125" s="119" cm="1">
        <f t="array" ref="BN125">IF(($AG$51=0),0,
_xlfn.IFS(BK125&lt;=$BL$102,($BL$103*(1-(BK125/$BL$102))),AND(BK125&gt;$BL$102,BK125&lt;($AG$55+$BL$102)),0,BK125&gt;=($AG$55+$BL$102),($BL$103*((BK125-($AG$55+$BL$102))/$BL$102))))</f>
        <v>0</v>
      </c>
      <c r="BO125" s="120">
        <f t="shared" si="17"/>
        <v>0</v>
      </c>
      <c r="BP125" s="121">
        <f t="shared" si="18"/>
        <v>0</v>
      </c>
      <c r="BQ125" s="121">
        <f t="shared" si="58"/>
        <v>0</v>
      </c>
      <c r="BR125" s="48">
        <f t="shared" si="19"/>
        <v>0</v>
      </c>
      <c r="BS125" s="48">
        <f t="shared" si="20"/>
        <v>979</v>
      </c>
      <c r="BU125" s="122"/>
      <c r="BW125" s="50">
        <f t="shared" si="64"/>
        <v>285</v>
      </c>
      <c r="BX125" s="50">
        <f t="shared" si="65"/>
        <v>979</v>
      </c>
      <c r="BY125" s="53">
        <f t="shared" si="66"/>
        <v>0</v>
      </c>
      <c r="BZ125" s="53">
        <f t="shared" si="67"/>
        <v>0</v>
      </c>
      <c r="CA125" s="53">
        <f t="shared" si="68"/>
        <v>979</v>
      </c>
      <c r="CC125" s="126">
        <f t="shared" si="54"/>
        <v>906.91709603206596</v>
      </c>
      <c r="CD125" s="127">
        <f t="shared" si="21"/>
        <v>10.419916044526605</v>
      </c>
    </row>
    <row r="126" spans="2:82" x14ac:dyDescent="0.35">
      <c r="B126" s="50" t="b">
        <f t="shared" si="22"/>
        <v>1</v>
      </c>
      <c r="C126" s="21">
        <f t="shared" si="23"/>
        <v>39.777777777777757</v>
      </c>
      <c r="D126" s="13">
        <f t="shared" si="24"/>
        <v>1.8097674470819904</v>
      </c>
      <c r="E126" s="143">
        <f t="shared" si="25"/>
        <v>129.91607797490408</v>
      </c>
      <c r="F126" s="52">
        <f t="shared" si="26"/>
        <v>0.81632864683971373</v>
      </c>
      <c r="G126" s="50">
        <f t="shared" si="27"/>
        <v>58.601018770104702</v>
      </c>
      <c r="H126" s="50">
        <f t="shared" si="5"/>
        <v>188.51709674500879</v>
      </c>
      <c r="I126" s="16">
        <f t="shared" si="28"/>
        <v>6.67665909517223</v>
      </c>
      <c r="J126" s="22">
        <f t="shared" si="29"/>
        <v>3.0258155356315149E-2</v>
      </c>
      <c r="K126" s="15">
        <f t="shared" si="59"/>
        <v>751.70269471122083</v>
      </c>
      <c r="L126" s="15">
        <f t="shared" si="6"/>
        <v>507.73569382723463</v>
      </c>
      <c r="M126" s="17">
        <f t="shared" si="30"/>
        <v>0.37128982468022981</v>
      </c>
      <c r="N126" s="15">
        <f t="shared" si="31"/>
        <v>319</v>
      </c>
      <c r="O126" s="17">
        <f t="shared" si="32"/>
        <v>0.62827964210163445</v>
      </c>
      <c r="P126" s="15">
        <f t="shared" si="33"/>
        <v>0</v>
      </c>
      <c r="Q126" s="7">
        <f t="shared" si="34"/>
        <v>0</v>
      </c>
      <c r="R126" s="17">
        <f t="shared" si="7"/>
        <v>0.62827964210163445</v>
      </c>
      <c r="S126" s="17">
        <f t="shared" si="35"/>
        <v>0.43574233242532717</v>
      </c>
      <c r="T126" s="162">
        <f t="shared" si="36"/>
        <v>861.22277133135083</v>
      </c>
      <c r="U126" s="162">
        <f>ABS($L126-$L127)*IF($B126,FORECAST($L126,
INDEX($Z$119:$AJ$119,MATCH($L126,$Z$105:$AJ$105,1)):INDEX($Z$119:$AJ$119,MATCH($L126,$Z$105:$AJ$105,1)+1),
INDEX($Z$105:$AJ$105,MATCH($L126,$Z$105:$AJ$105,1)):INDEX($Z$105:$AJ$105,MATCH($L126,$Z$105:$AJ$105,1)+1)),0)</f>
        <v>0</v>
      </c>
      <c r="V126" s="162">
        <f>ABS($L126-$L127)*IF($B126,FORECAST($L126,
INDEX($Z$120:$AJ$120,MATCH($L126,$Z$105:$AJ$105,1)):INDEX($Z$120:$AJ$120,MATCH($L126,$Z$105:$AJ$105,1)+1),
INDEX($Z$105:$AJ$105,MATCH($L126,$Z$105:$AJ$105,1)):INDEX($Z$105:$AJ$105,MATCH($L126,$Z$105:$AJ$105,1)+1)),0)</f>
        <v>1415.8795709109129</v>
      </c>
      <c r="W126" s="162">
        <f>ABS($L126-$L127)*IF($B126,FORECAST($L126,
INDEX($Z$121:$AJ$121,MATCH($L126,$Z$105:$AJ$105,1)):INDEX($Z$121:$AJ$121,MATCH($L126,$Z$105:$AJ$105,1)+1),
INDEX($Z$105:$AJ$105,MATCH($L126,$Z$105:$AJ$105,1)):INDEX($Z$105:$AJ$105,MATCH($L126,$Z$105:$AJ$105,1)+1)),0)</f>
        <v>1579.0176223066721</v>
      </c>
      <c r="X126" s="162">
        <f>ABS($L126-$L127)*IF($B126,FORECAST($L126,
INDEX($Z$122:$AJ$122,MATCH($L126,$Z$105:$AJ$105,1)):INDEX($Z$122:$AJ$122,MATCH($L126,$Z$105:$AJ$105,1)+1),
INDEX($Z$105:$AJ$105,MATCH($L126,$Z$105:$AJ$105,1)):INDEX($Z$105:$AJ$105,MATCH($L126,$Z$105:$AJ$105,1)+1)),0)</f>
        <v>1269.5947715796651</v>
      </c>
      <c r="AM126" s="44">
        <f t="shared" si="38"/>
        <v>300</v>
      </c>
      <c r="AN126" s="45">
        <f t="shared" si="55"/>
        <v>979</v>
      </c>
      <c r="AO126" s="54">
        <f t="shared" si="9"/>
        <v>0.19000061560655013</v>
      </c>
      <c r="AP126" s="54">
        <f t="shared" si="10"/>
        <v>0.19000061560655013</v>
      </c>
      <c r="AQ126" s="54">
        <f t="shared" si="73"/>
        <v>0.38000123121310025</v>
      </c>
      <c r="AR126" s="46">
        <f t="shared" si="11"/>
        <v>1.1871768036878514</v>
      </c>
      <c r="AS126" s="47">
        <f t="shared" si="40"/>
        <v>6.6784807821948619E-5</v>
      </c>
      <c r="AT126" s="47">
        <f t="shared" si="56"/>
        <v>1.2568458461549918E-6</v>
      </c>
      <c r="AU126" s="48">
        <f t="shared" si="41"/>
        <v>46.295541155777691</v>
      </c>
      <c r="AV126" s="48">
        <f t="shared" si="12"/>
        <v>920.04696697211227</v>
      </c>
      <c r="AW126" s="140">
        <f t="shared" si="42"/>
        <v>-112.16935228316461</v>
      </c>
      <c r="AX126" s="53"/>
      <c r="AZ126" s="50">
        <f t="shared" si="43"/>
        <v>188.51709674500879</v>
      </c>
      <c r="BA126" s="50">
        <f t="shared" si="44"/>
        <v>188.51709674500879</v>
      </c>
      <c r="BB126" s="50">
        <f t="shared" si="13"/>
        <v>507.73569382723463</v>
      </c>
      <c r="BD126" s="50">
        <f t="shared" si="14"/>
        <v>300</v>
      </c>
      <c r="BE126" s="50">
        <f t="shared" si="15"/>
        <v>979</v>
      </c>
      <c r="BF126" s="53">
        <f t="shared" si="16"/>
        <v>0.38000123121310025</v>
      </c>
      <c r="BG126" s="53">
        <f t="shared" si="45"/>
        <v>6.6784807821948619E-5</v>
      </c>
      <c r="BH126" s="53">
        <f t="shared" si="46"/>
        <v>920.04696697211227</v>
      </c>
      <c r="BI126" s="127">
        <f t="shared" si="47"/>
        <v>-112.16935228316461</v>
      </c>
      <c r="BK126" s="44">
        <f t="shared" si="48"/>
        <v>300</v>
      </c>
      <c r="BL126" s="45">
        <f t="shared" si="57"/>
        <v>979</v>
      </c>
      <c r="BM126" s="119" cm="1">
        <f t="array" ref="BM126">IF(($AG$51=0),0,
_xlfn.IFS(BK126&lt;=$BL$102,($AG$53*(1-(BK126/$BL$102))),AND(BK126&gt;$BL$102,BK126&lt;($AG$55+$BL$102)),0,BK126&gt;=($AG$55+$BL$102),($AG$53*((BK126-($AG$55+$BL$102))/$BL$102)))-$AG$54)</f>
        <v>0</v>
      </c>
      <c r="BN126" s="119" cm="1">
        <f t="array" ref="BN126">IF(($AG$51=0),0,
_xlfn.IFS(BK126&lt;=$BL$102,($BL$103*(1-(BK126/$BL$102))),AND(BK126&gt;$BL$102,BK126&lt;($AG$55+$BL$102)),0,BK126&gt;=($AG$55+$BL$102),($BL$103*((BK126-($AG$55+$BL$102))/$BL$102))))</f>
        <v>0</v>
      </c>
      <c r="BO126" s="120">
        <f t="shared" si="17"/>
        <v>0</v>
      </c>
      <c r="BP126" s="121">
        <f t="shared" si="18"/>
        <v>0</v>
      </c>
      <c r="BQ126" s="121">
        <f t="shared" si="58"/>
        <v>0</v>
      </c>
      <c r="BR126" s="48">
        <f t="shared" si="19"/>
        <v>0</v>
      </c>
      <c r="BS126" s="48">
        <f t="shared" si="20"/>
        <v>979</v>
      </c>
      <c r="BU126" s="122"/>
      <c r="BW126" s="50">
        <f t="shared" si="64"/>
        <v>300</v>
      </c>
      <c r="BX126" s="50">
        <f t="shared" si="65"/>
        <v>979</v>
      </c>
      <c r="BY126" s="53">
        <f t="shared" si="66"/>
        <v>0</v>
      </c>
      <c r="BZ126" s="53">
        <f t="shared" si="67"/>
        <v>0</v>
      </c>
      <c r="CA126" s="53">
        <f t="shared" si="68"/>
        <v>979</v>
      </c>
      <c r="CC126" s="126">
        <f t="shared" si="54"/>
        <v>920.04696697211227</v>
      </c>
      <c r="CD126" s="127">
        <f t="shared" si="21"/>
        <v>10.271214774067552</v>
      </c>
    </row>
    <row r="127" spans="2:82" x14ac:dyDescent="0.35">
      <c r="B127" s="50" t="b">
        <f t="shared" si="22"/>
        <v>1</v>
      </c>
      <c r="C127" s="21">
        <f t="shared" si="23"/>
        <v>41.766666666666644</v>
      </c>
      <c r="D127" s="13">
        <f t="shared" si="24"/>
        <v>1.8400256024383055</v>
      </c>
      <c r="E127" s="143">
        <f t="shared" si="25"/>
        <v>132.0881917881932</v>
      </c>
      <c r="F127" s="52">
        <f t="shared" si="26"/>
        <v>0.85520143954636674</v>
      </c>
      <c r="G127" s="50">
        <f t="shared" si="27"/>
        <v>61.391543473443022</v>
      </c>
      <c r="H127" s="50">
        <f t="shared" si="5"/>
        <v>193.47973526163622</v>
      </c>
      <c r="I127" s="16">
        <f t="shared" si="28"/>
        <v>6.7882885691627202</v>
      </c>
      <c r="J127" s="22">
        <f t="shared" si="29"/>
        <v>3.0764052380290865E-2</v>
      </c>
      <c r="K127" s="15">
        <f t="shared" si="59"/>
        <v>745.02703561604858</v>
      </c>
      <c r="L127" s="15">
        <f t="shared" si="6"/>
        <v>503.2266366876384</v>
      </c>
      <c r="M127" s="17">
        <f t="shared" si="30"/>
        <v>0.38447832677373256</v>
      </c>
      <c r="N127" s="15">
        <f t="shared" si="31"/>
        <v>319</v>
      </c>
      <c r="O127" s="17">
        <f t="shared" si="32"/>
        <v>0.63390921056909177</v>
      </c>
      <c r="P127" s="15">
        <f t="shared" si="33"/>
        <v>0</v>
      </c>
      <c r="Q127" s="7">
        <f t="shared" si="34"/>
        <v>0</v>
      </c>
      <c r="R127" s="17">
        <f t="shared" si="7"/>
        <v>0.63390921056909177</v>
      </c>
      <c r="S127" s="17">
        <f t="shared" si="35"/>
        <v>0.43964671055598303</v>
      </c>
      <c r="T127" s="162">
        <f t="shared" si="36"/>
        <v>898.45827094576293</v>
      </c>
      <c r="U127" s="162">
        <f>ABS($L127-$L128)*IF($B127,FORECAST($L127,
INDEX($Z$119:$AJ$119,MATCH($L127,$Z$105:$AJ$105,1)):INDEX($Z$119:$AJ$119,MATCH($L127,$Z$105:$AJ$105,1)+1),
INDEX($Z$105:$AJ$105,MATCH($L127,$Z$105:$AJ$105,1)):INDEX($Z$105:$AJ$105,MATCH($L127,$Z$105:$AJ$105,1)+1)),0)</f>
        <v>0</v>
      </c>
      <c r="V127" s="162">
        <f>ABS($L127-$L128)*IF($B127,FORECAST($L127,
INDEX($Z$120:$AJ$120,MATCH($L127,$Z$105:$AJ$105,1)):INDEX($Z$120:$AJ$120,MATCH($L127,$Z$105:$AJ$105,1)+1),
INDEX($Z$105:$AJ$105,MATCH($L127,$Z$105:$AJ$105,1)):INDEX($Z$105:$AJ$105,MATCH($L127,$Z$105:$AJ$105,1)+1)),0)</f>
        <v>1441.5515709983529</v>
      </c>
      <c r="W127" s="162">
        <f>ABS($L127-$L128)*IF($B127,FORECAST($L127,
INDEX($Z$121:$AJ$121,MATCH($L127,$Z$105:$AJ$105,1)):INDEX($Z$121:$AJ$121,MATCH($L127,$Z$105:$AJ$105,1)+1),
INDEX($Z$105:$AJ$105,MATCH($L127,$Z$105:$AJ$105,1)):INDEX($Z$105:$AJ$105,MATCH($L127,$Z$105:$AJ$105,1)+1)),0)</f>
        <v>1604.6500131901958</v>
      </c>
      <c r="X127" s="162">
        <f>ABS($L127-$L128)*IF($B127,FORECAST($L127,
INDEX($Z$122:$AJ$122,MATCH($L127,$Z$105:$AJ$105,1)):INDEX($Z$122:$AJ$122,MATCH($L127,$Z$105:$AJ$105,1)+1),
INDEX($Z$105:$AJ$105,MATCH($L127,$Z$105:$AJ$105,1)):INDEX($Z$105:$AJ$105,MATCH($L127,$Z$105:$AJ$105,1)+1)),0)</f>
        <v>1293.512512359772</v>
      </c>
      <c r="AM127" s="44">
        <f t="shared" si="38"/>
        <v>315</v>
      </c>
      <c r="AN127" s="45">
        <f t="shared" si="55"/>
        <v>979</v>
      </c>
      <c r="AO127" s="54">
        <f t="shared" si="9"/>
        <v>0.24310073601373006</v>
      </c>
      <c r="AP127" s="54">
        <f t="shared" si="10"/>
        <v>0.24310073601373006</v>
      </c>
      <c r="AQ127" s="54">
        <f t="shared" si="73"/>
        <v>0.48620147202746011</v>
      </c>
      <c r="AR127" s="46">
        <f t="shared" si="11"/>
        <v>1.5189611561710898</v>
      </c>
      <c r="AS127" s="47">
        <f t="shared" si="40"/>
        <v>8.5449385962365896E-5</v>
      </c>
      <c r="AT127" s="47">
        <f t="shared" si="56"/>
        <v>1.2568442424603096E-6</v>
      </c>
      <c r="AU127" s="48">
        <f t="shared" si="41"/>
        <v>58.99491903136375</v>
      </c>
      <c r="AV127" s="48">
        <f t="shared" si="12"/>
        <v>932.7463448476982</v>
      </c>
      <c r="AW127" s="140">
        <f t="shared" si="42"/>
        <v>-88.35186021943835</v>
      </c>
      <c r="AX127" s="53"/>
      <c r="AZ127" s="50">
        <f t="shared" si="43"/>
        <v>193.47973526163622</v>
      </c>
      <c r="BA127" s="50">
        <f t="shared" si="44"/>
        <v>193.47973526163622</v>
      </c>
      <c r="BB127" s="50">
        <f t="shared" si="13"/>
        <v>503.2266366876384</v>
      </c>
      <c r="BD127" s="50">
        <f t="shared" si="14"/>
        <v>315</v>
      </c>
      <c r="BE127" s="50">
        <f t="shared" si="15"/>
        <v>979</v>
      </c>
      <c r="BF127" s="53">
        <f t="shared" si="16"/>
        <v>0.48620147202746011</v>
      </c>
      <c r="BG127" s="53">
        <f t="shared" si="45"/>
        <v>8.5449385962365896E-5</v>
      </c>
      <c r="BH127" s="53">
        <f t="shared" si="46"/>
        <v>932.7463448476982</v>
      </c>
      <c r="BI127" s="127">
        <f t="shared" si="47"/>
        <v>-88.35186021943835</v>
      </c>
      <c r="BK127" s="44">
        <f t="shared" si="48"/>
        <v>315</v>
      </c>
      <c r="BL127" s="45">
        <f t="shared" si="57"/>
        <v>979</v>
      </c>
      <c r="BM127" s="119" cm="1">
        <f t="array" ref="BM127">IF(($AG$51=0),0,
_xlfn.IFS(BK127&lt;=$BL$102,($AG$53*(1-(BK127/$BL$102))),AND(BK127&gt;$BL$102,BK127&lt;($AG$55+$BL$102)),0,BK127&gt;=($AG$55+$BL$102),($AG$53*((BK127-($AG$55+$BL$102))/$BL$102)))-$AG$54)</f>
        <v>0</v>
      </c>
      <c r="BN127" s="119" cm="1">
        <f t="array" ref="BN127">IF(($AG$51=0),0,
_xlfn.IFS(BK127&lt;=$BL$102,($BL$103*(1-(BK127/$BL$102))),AND(BK127&gt;$BL$102,BK127&lt;($AG$55+$BL$102)),0,BK127&gt;=($AG$55+$BL$102),($BL$103*((BK127-($AG$55+$BL$102))/$BL$102))))</f>
        <v>0</v>
      </c>
      <c r="BO127" s="120">
        <f t="shared" si="17"/>
        <v>0</v>
      </c>
      <c r="BP127" s="121">
        <f t="shared" si="18"/>
        <v>0</v>
      </c>
      <c r="BQ127" s="121">
        <f t="shared" si="58"/>
        <v>0</v>
      </c>
      <c r="BR127" s="48">
        <f t="shared" si="19"/>
        <v>0</v>
      </c>
      <c r="BS127" s="48">
        <f t="shared" si="20"/>
        <v>979</v>
      </c>
      <c r="BU127" s="122"/>
      <c r="BW127" s="50">
        <f t="shared" si="64"/>
        <v>315</v>
      </c>
      <c r="BX127" s="50">
        <f t="shared" si="65"/>
        <v>979</v>
      </c>
      <c r="BY127" s="53">
        <f t="shared" si="66"/>
        <v>0</v>
      </c>
      <c r="BZ127" s="53">
        <f t="shared" si="67"/>
        <v>0</v>
      </c>
      <c r="CA127" s="53">
        <f t="shared" si="68"/>
        <v>979</v>
      </c>
      <c r="CC127" s="126">
        <f t="shared" si="54"/>
        <v>932.7463448476982</v>
      </c>
      <c r="CD127" s="127">
        <f t="shared" si="21"/>
        <v>10.13137178419394</v>
      </c>
    </row>
    <row r="128" spans="2:82" x14ac:dyDescent="0.35">
      <c r="B128" s="50" t="b">
        <f t="shared" si="22"/>
        <v>1</v>
      </c>
      <c r="C128" s="21">
        <f t="shared" si="23"/>
        <v>43.755555555555532</v>
      </c>
      <c r="D128" s="13">
        <f t="shared" si="24"/>
        <v>1.8707896548185963</v>
      </c>
      <c r="E128" s="143">
        <f t="shared" si="25"/>
        <v>134.29662195655882</v>
      </c>
      <c r="F128" s="52">
        <f t="shared" si="26"/>
        <v>0.89407423225301974</v>
      </c>
      <c r="G128" s="50">
        <f t="shared" si="27"/>
        <v>64.182068176781343</v>
      </c>
      <c r="H128" s="50">
        <f t="shared" si="5"/>
        <v>198.47869013334017</v>
      </c>
      <c r="I128" s="16">
        <f t="shared" si="28"/>
        <v>6.9017844166321867</v>
      </c>
      <c r="J128" s="22">
        <f t="shared" si="29"/>
        <v>3.1278407679262314E-2</v>
      </c>
      <c r="K128" s="15">
        <f t="shared" si="59"/>
        <v>738.23974704688578</v>
      </c>
      <c r="L128" s="15">
        <f t="shared" si="6"/>
        <v>498.64217970069961</v>
      </c>
      <c r="M128" s="17">
        <f t="shared" si="30"/>
        <v>0.39803830925910277</v>
      </c>
      <c r="N128" s="15">
        <f t="shared" si="31"/>
        <v>326.05106343777794</v>
      </c>
      <c r="O128" s="17">
        <f t="shared" si="32"/>
        <v>0.65387782404104644</v>
      </c>
      <c r="P128" s="15">
        <f t="shared" si="33"/>
        <v>0</v>
      </c>
      <c r="Q128" s="7">
        <f t="shared" si="34"/>
        <v>0</v>
      </c>
      <c r="R128" s="17">
        <f t="shared" si="7"/>
        <v>0.65387782404104644</v>
      </c>
      <c r="S128" s="17">
        <f t="shared" si="35"/>
        <v>0.45349591022201613</v>
      </c>
      <c r="T128" s="162">
        <f t="shared" si="36"/>
        <v>936.86890073899031</v>
      </c>
      <c r="U128" s="162">
        <f>ABS($L128-$L129)*IF($B128,FORECAST($L128,
INDEX($Z$119:$AJ$119,MATCH($L128,$Z$105:$AJ$105,1)):INDEX($Z$119:$AJ$119,MATCH($L128,$Z$105:$AJ$105,1)+1),
INDEX($Z$105:$AJ$105,MATCH($L128,$Z$105:$AJ$105,1)):INDEX($Z$105:$AJ$105,MATCH($L128,$Z$105:$AJ$105,1)+1)),0)</f>
        <v>0</v>
      </c>
      <c r="V128" s="162">
        <f>ABS($L128-$L129)*IF($B128,FORECAST($L128,
INDEX($Z$120:$AJ$120,MATCH($L128,$Z$105:$AJ$105,1)):INDEX($Z$120:$AJ$120,MATCH($L128,$Z$105:$AJ$105,1)+1),
INDEX($Z$105:$AJ$105,MATCH($L128,$Z$105:$AJ$105,1)):INDEX($Z$105:$AJ$105,MATCH($L128,$Z$105:$AJ$105,1)+1)),0)</f>
        <v>1467.7038071295415</v>
      </c>
      <c r="W128" s="162">
        <f>ABS($L128-$L129)*IF($B128,FORECAST($L128,
INDEX($Z$121:$AJ$121,MATCH($L128,$Z$105:$AJ$105,1)):INDEX($Z$121:$AJ$121,MATCH($L128,$Z$105:$AJ$105,1)+1),
INDEX($Z$105:$AJ$105,MATCH($L128,$Z$105:$AJ$105,1)):INDEX($Z$105:$AJ$105,MATCH($L128,$Z$105:$AJ$105,1)+1)),0)</f>
        <v>1631.34488380984</v>
      </c>
      <c r="X128" s="162">
        <f>ABS($L128-$L129)*IF($B128,FORECAST($L128,
INDEX($Z$122:$AJ$122,MATCH($L128,$Z$105:$AJ$105,1)):INDEX($Z$122:$AJ$122,MATCH($L128,$Z$105:$AJ$105,1)+1),
INDEX($Z$105:$AJ$105,MATCH($L128,$Z$105:$AJ$105,1)):INDEX($Z$105:$AJ$105,MATCH($L128,$Z$105:$AJ$105,1)+1)),0)</f>
        <v>1317.383052048574</v>
      </c>
      <c r="Z128" s="3"/>
      <c r="AM128" s="44">
        <f t="shared" si="38"/>
        <v>330</v>
      </c>
      <c r="AN128" s="45">
        <f t="shared" si="55"/>
        <v>979</v>
      </c>
      <c r="AO128" s="54">
        <f t="shared" si="9"/>
        <v>0.29440083091321867</v>
      </c>
      <c r="AP128" s="54">
        <f t="shared" si="10"/>
        <v>0.29440083091321867</v>
      </c>
      <c r="AQ128" s="54">
        <f t="shared" si="73"/>
        <v>0.58880166182643734</v>
      </c>
      <c r="AR128" s="46">
        <f t="shared" si="11"/>
        <v>1.8394984475753118</v>
      </c>
      <c r="AS128" s="47">
        <f t="shared" si="40"/>
        <v>1.0348125900747598E-4</v>
      </c>
      <c r="AT128" s="47">
        <f t="shared" si="56"/>
        <v>1.2568426912625391E-6</v>
      </c>
      <c r="AU128" s="48">
        <f t="shared" si="41"/>
        <v>71.263804395821694</v>
      </c>
      <c r="AV128" s="48">
        <f t="shared" si="12"/>
        <v>945.01523021215633</v>
      </c>
      <c r="AW128" s="140">
        <f t="shared" si="42"/>
        <v>-65.34175037848658</v>
      </c>
      <c r="AX128" s="53"/>
      <c r="AZ128" s="50">
        <f t="shared" si="43"/>
        <v>198.47869013334017</v>
      </c>
      <c r="BA128" s="50">
        <f t="shared" si="44"/>
        <v>198.47869013334017</v>
      </c>
      <c r="BB128" s="50">
        <f t="shared" si="13"/>
        <v>498.64217970069961</v>
      </c>
      <c r="BD128" s="50">
        <f t="shared" si="14"/>
        <v>330</v>
      </c>
      <c r="BE128" s="50">
        <f t="shared" si="15"/>
        <v>979</v>
      </c>
      <c r="BF128" s="53">
        <f t="shared" si="16"/>
        <v>0.58880166182643734</v>
      </c>
      <c r="BG128" s="53">
        <f t="shared" si="45"/>
        <v>1.0348125900747598E-4</v>
      </c>
      <c r="BH128" s="53">
        <f t="shared" si="46"/>
        <v>945.01523021215633</v>
      </c>
      <c r="BI128" s="127">
        <f t="shared" si="47"/>
        <v>-65.34175037848658</v>
      </c>
      <c r="BK128" s="44">
        <f t="shared" si="48"/>
        <v>330</v>
      </c>
      <c r="BL128" s="45">
        <f t="shared" si="57"/>
        <v>979</v>
      </c>
      <c r="BM128" s="119" cm="1">
        <f t="array" ref="BM128">IF(($AG$51=0),0,
_xlfn.IFS(BK128&lt;=$BL$102,($AG$53*(1-(BK128/$BL$102))),AND(BK128&gt;$BL$102,BK128&lt;($AG$55+$BL$102)),0,BK128&gt;=($AG$55+$BL$102),($AG$53*((BK128-($AG$55+$BL$102))/$BL$102)))-$AG$54)</f>
        <v>0</v>
      </c>
      <c r="BN128" s="119" cm="1">
        <f t="array" ref="BN128">IF(($AG$51=0),0,
_xlfn.IFS(BK128&lt;=$BL$102,($BL$103*(1-(BK128/$BL$102))),AND(BK128&gt;$BL$102,BK128&lt;($AG$55+$BL$102)),0,BK128&gt;=($AG$55+$BL$102),($BL$103*((BK128-($AG$55+$BL$102))/$BL$102))))</f>
        <v>0</v>
      </c>
      <c r="BO128" s="120">
        <f t="shared" si="17"/>
        <v>0</v>
      </c>
      <c r="BP128" s="121">
        <f t="shared" si="18"/>
        <v>0</v>
      </c>
      <c r="BQ128" s="121">
        <f t="shared" si="58"/>
        <v>0</v>
      </c>
      <c r="BR128" s="48">
        <f t="shared" si="19"/>
        <v>0</v>
      </c>
      <c r="BS128" s="48">
        <f t="shared" si="20"/>
        <v>979</v>
      </c>
      <c r="BU128" s="122"/>
      <c r="BW128" s="50">
        <f t="shared" si="64"/>
        <v>330</v>
      </c>
      <c r="BX128" s="50">
        <f t="shared" si="65"/>
        <v>979</v>
      </c>
      <c r="BY128" s="53">
        <f t="shared" si="66"/>
        <v>0</v>
      </c>
      <c r="BZ128" s="53">
        <f t="shared" si="67"/>
        <v>0</v>
      </c>
      <c r="CA128" s="53">
        <f t="shared" si="68"/>
        <v>979</v>
      </c>
      <c r="CC128" s="126">
        <f t="shared" si="54"/>
        <v>945.01523021215633</v>
      </c>
      <c r="CD128" s="127">
        <f t="shared" si="21"/>
        <v>9.999838836331211</v>
      </c>
    </row>
    <row r="129" spans="2:82" x14ac:dyDescent="0.35">
      <c r="B129" s="50" t="b">
        <f t="shared" si="22"/>
        <v>1</v>
      </c>
      <c r="C129" s="21">
        <f t="shared" si="23"/>
        <v>45.744444444444419</v>
      </c>
      <c r="D129" s="13">
        <f t="shared" si="24"/>
        <v>1.9020680624978585</v>
      </c>
      <c r="E129" s="143">
        <f t="shared" si="25"/>
        <v>136.54197566625331</v>
      </c>
      <c r="F129" s="52">
        <f t="shared" si="26"/>
        <v>0.93294702495967274</v>
      </c>
      <c r="G129" s="50">
        <f t="shared" si="27"/>
        <v>66.972592880119649</v>
      </c>
      <c r="H129" s="50">
        <f t="shared" si="5"/>
        <v>203.51456854637297</v>
      </c>
      <c r="I129" s="16">
        <f t="shared" si="28"/>
        <v>7.0171778421526696</v>
      </c>
      <c r="J129" s="22">
        <f t="shared" si="29"/>
        <v>3.1801362670182978E-2</v>
      </c>
      <c r="K129" s="15">
        <f t="shared" si="59"/>
        <v>731.3389626302536</v>
      </c>
      <c r="L129" s="15">
        <f t="shared" si="6"/>
        <v>493.98106222914799</v>
      </c>
      <c r="M129" s="17">
        <f t="shared" si="30"/>
        <v>0.41198860464000259</v>
      </c>
      <c r="N129" s="15">
        <f t="shared" si="31"/>
        <v>326.49356598587622</v>
      </c>
      <c r="O129" s="17">
        <f t="shared" si="32"/>
        <v>0.66094348741333397</v>
      </c>
      <c r="P129" s="15">
        <f t="shared" si="33"/>
        <v>0</v>
      </c>
      <c r="Q129" s="7">
        <f t="shared" si="34"/>
        <v>0</v>
      </c>
      <c r="R129" s="17">
        <f t="shared" si="7"/>
        <v>0.66094348741333397</v>
      </c>
      <c r="S129" s="17">
        <f t="shared" si="35"/>
        <v>0.4583962896576349</v>
      </c>
      <c r="T129" s="162">
        <f t="shared" si="36"/>
        <v>976.48930253421543</v>
      </c>
      <c r="U129" s="162">
        <f>ABS($L129-$L130)*IF($B129,FORECAST($L129,
INDEX($Z$119:$AJ$119,MATCH($L129,$Z$105:$AJ$105,1)):INDEX($Z$119:$AJ$119,MATCH($L129,$Z$105:$AJ$105,1)+1),
INDEX($Z$105:$AJ$105,MATCH($L129,$Z$105:$AJ$105,1)):INDEX($Z$105:$AJ$105,MATCH($L129,$Z$105:$AJ$105,1)+1)),0)</f>
        <v>0</v>
      </c>
      <c r="V129" s="162">
        <f>ABS($L129-$L130)*IF($B129,FORECAST($L129,
INDEX($Z$120:$AJ$120,MATCH($L129,$Z$105:$AJ$105,1)):INDEX($Z$120:$AJ$120,MATCH($L129,$Z$105:$AJ$105,1)+1),
INDEX($Z$105:$AJ$105,MATCH($L129,$Z$105:$AJ$105,1)):INDEX($Z$105:$AJ$105,MATCH($L129,$Z$105:$AJ$105,1)+1)),0)</f>
        <v>1494.3222953883405</v>
      </c>
      <c r="W129" s="162">
        <f>ABS($L129-$L130)*IF($B129,FORECAST($L129,
INDEX($Z$121:$AJ$121,MATCH($L129,$Z$105:$AJ$105,1)):INDEX($Z$121:$AJ$121,MATCH($L129,$Z$105:$AJ$105,1)+1),
INDEX($Z$105:$AJ$105,MATCH($L129,$Z$105:$AJ$105,1)):INDEX($Z$105:$AJ$105,MATCH($L129,$Z$105:$AJ$105,1)+1)),0)</f>
        <v>1660.102576883779</v>
      </c>
      <c r="X129" s="162">
        <f>ABS($L129-$L130)*IF($B129,FORECAST($L129,
INDEX($Z$122:$AJ$122,MATCH($L129,$Z$105:$AJ$105,1)):INDEX($Z$122:$AJ$122,MATCH($L129,$Z$105:$AJ$105,1)+1),
INDEX($Z$105:$AJ$105,MATCH($L129,$Z$105:$AJ$105,1)):INDEX($Z$105:$AJ$105,MATCH($L129,$Z$105:$AJ$105,1)+1)),0)</f>
        <v>1340.4073232147848</v>
      </c>
      <c r="AM129" s="44">
        <f t="shared" si="38"/>
        <v>345</v>
      </c>
      <c r="AN129" s="45">
        <f t="shared" si="55"/>
        <v>979</v>
      </c>
      <c r="AO129" s="54">
        <f t="shared" si="9"/>
        <v>0.343900902531459</v>
      </c>
      <c r="AP129" s="54">
        <f t="shared" si="10"/>
        <v>0.343900902531459</v>
      </c>
      <c r="AQ129" s="54">
        <f t="shared" si="73"/>
        <v>0.68780180506291799</v>
      </c>
      <c r="AR129" s="46">
        <f t="shared" si="11"/>
        <v>2.1487886918119541</v>
      </c>
      <c r="AS129" s="47">
        <f t="shared" si="40"/>
        <v>1.2088042773986879E-4</v>
      </c>
      <c r="AT129" s="47">
        <f t="shared" si="56"/>
        <v>1.25684120102884E-6</v>
      </c>
      <c r="AU129" s="48">
        <f t="shared" si="41"/>
        <v>83.102197787386743</v>
      </c>
      <c r="AV129" s="48">
        <f t="shared" si="12"/>
        <v>956.8536236037213</v>
      </c>
      <c r="AW129" s="140">
        <f t="shared" si="42"/>
        <v>-43.139021761662072</v>
      </c>
      <c r="AX129" s="53"/>
      <c r="AZ129" s="50">
        <f t="shared" si="43"/>
        <v>203.51456854637297</v>
      </c>
      <c r="BA129" s="50">
        <f t="shared" si="44"/>
        <v>203.51456854637297</v>
      </c>
      <c r="BB129" s="50">
        <f t="shared" si="13"/>
        <v>493.98106222914799</v>
      </c>
      <c r="BD129" s="50">
        <f t="shared" si="14"/>
        <v>345</v>
      </c>
      <c r="BE129" s="50">
        <f t="shared" si="15"/>
        <v>979</v>
      </c>
      <c r="BF129" s="53">
        <f t="shared" si="16"/>
        <v>0.68780180506291799</v>
      </c>
      <c r="BG129" s="53">
        <f t="shared" si="45"/>
        <v>1.2088042773986879E-4</v>
      </c>
      <c r="BH129" s="53">
        <f t="shared" si="46"/>
        <v>956.8536236037213</v>
      </c>
      <c r="BI129" s="127">
        <f t="shared" si="47"/>
        <v>-43.139021761662072</v>
      </c>
      <c r="BK129" s="44">
        <f t="shared" si="48"/>
        <v>345</v>
      </c>
      <c r="BL129" s="45">
        <f t="shared" si="57"/>
        <v>979</v>
      </c>
      <c r="BM129" s="119" cm="1">
        <f t="array" ref="BM129">IF(($AG$51=0),0,
_xlfn.IFS(BK129&lt;=$BL$102,($AG$53*(1-(BK129/$BL$102))),AND(BK129&gt;$BL$102,BK129&lt;($AG$55+$BL$102)),0,BK129&gt;=($AG$55+$BL$102),($AG$53*((BK129-($AG$55+$BL$102))/$BL$102)))-$AG$54)</f>
        <v>0</v>
      </c>
      <c r="BN129" s="119" cm="1">
        <f t="array" ref="BN129">IF(($AG$51=0),0,
_xlfn.IFS(BK129&lt;=$BL$102,($BL$103*(1-(BK129/$BL$102))),AND(BK129&gt;$BL$102,BK129&lt;($AG$55+$BL$102)),0,BK129&gt;=($AG$55+$BL$102),($BL$103*((BK129-($AG$55+$BL$102))/$BL$102))))</f>
        <v>0</v>
      </c>
      <c r="BO129" s="120">
        <f t="shared" si="17"/>
        <v>0</v>
      </c>
      <c r="BP129" s="121">
        <f t="shared" si="18"/>
        <v>0</v>
      </c>
      <c r="BQ129" s="121">
        <f t="shared" si="58"/>
        <v>0</v>
      </c>
      <c r="BR129" s="48">
        <f t="shared" si="19"/>
        <v>0</v>
      </c>
      <c r="BS129" s="48">
        <f t="shared" si="20"/>
        <v>979</v>
      </c>
      <c r="BU129" s="122"/>
      <c r="BW129" s="50">
        <f t="shared" si="64"/>
        <v>345</v>
      </c>
      <c r="BX129" s="50">
        <f t="shared" si="65"/>
        <v>979</v>
      </c>
      <c r="BY129" s="53">
        <f t="shared" si="66"/>
        <v>0</v>
      </c>
      <c r="BZ129" s="53">
        <f t="shared" si="67"/>
        <v>0</v>
      </c>
      <c r="CA129" s="53">
        <f t="shared" si="68"/>
        <v>979</v>
      </c>
      <c r="CC129" s="126">
        <f t="shared" si="54"/>
        <v>956.8536236037213</v>
      </c>
      <c r="CD129" s="127">
        <f t="shared" si="21"/>
        <v>9.8761187363321259</v>
      </c>
    </row>
    <row r="130" spans="2:82" x14ac:dyDescent="0.35">
      <c r="B130" s="50" t="b">
        <f t="shared" si="22"/>
        <v>1</v>
      </c>
      <c r="C130" s="21">
        <f t="shared" si="23"/>
        <v>47.733333333333306</v>
      </c>
      <c r="D130" s="13">
        <f t="shared" si="24"/>
        <v>1.9338694251680415</v>
      </c>
      <c r="E130" s="143">
        <f t="shared" si="25"/>
        <v>138.82487025529525</v>
      </c>
      <c r="F130" s="52">
        <f t="shared" si="26"/>
        <v>0.97181981766632575</v>
      </c>
      <c r="G130" s="50">
        <f t="shared" si="27"/>
        <v>69.763117583457969</v>
      </c>
      <c r="H130" s="50">
        <f t="shared" si="5"/>
        <v>208.58798783875324</v>
      </c>
      <c r="I130" s="16">
        <f t="shared" si="28"/>
        <v>7.1345005720167185</v>
      </c>
      <c r="J130" s="22">
        <f t="shared" si="29"/>
        <v>3.2333061134407447E-2</v>
      </c>
      <c r="K130" s="15">
        <f t="shared" si="59"/>
        <v>724.32278478810088</v>
      </c>
      <c r="L130" s="15">
        <f t="shared" si="6"/>
        <v>489.24200255866322</v>
      </c>
      <c r="M130" s="17">
        <f t="shared" si="30"/>
        <v>0.42634930514524294</v>
      </c>
      <c r="N130" s="15">
        <f t="shared" si="31"/>
        <v>326.87664596535996</v>
      </c>
      <c r="O130" s="17">
        <f t="shared" si="32"/>
        <v>0.66812874662405008</v>
      </c>
      <c r="P130" s="15">
        <f t="shared" si="33"/>
        <v>0</v>
      </c>
      <c r="Q130" s="7">
        <f t="shared" si="34"/>
        <v>0</v>
      </c>
      <c r="R130" s="17">
        <f t="shared" si="7"/>
        <v>0.66812874662405008</v>
      </c>
      <c r="S130" s="17">
        <f t="shared" si="35"/>
        <v>0.46337961459409927</v>
      </c>
      <c r="T130" s="162">
        <f t="shared" si="36"/>
        <v>1017.3551421294185</v>
      </c>
      <c r="U130" s="162">
        <f>ABS($L130-$L131)*IF($B130,FORECAST($L130,
INDEX($Z$119:$AJ$119,MATCH($L130,$Z$105:$AJ$105,1)):INDEX($Z$119:$AJ$119,MATCH($L130,$Z$105:$AJ$105,1)+1),
INDEX($Z$105:$AJ$105,MATCH($L130,$Z$105:$AJ$105,1)):INDEX($Z$105:$AJ$105,MATCH($L130,$Z$105:$AJ$105,1)+1)),0)</f>
        <v>0</v>
      </c>
      <c r="V130" s="162">
        <f>ABS($L130-$L131)*IF($B130,FORECAST($L130,
INDEX($Z$120:$AJ$120,MATCH($L130,$Z$105:$AJ$105,1)):INDEX($Z$120:$AJ$120,MATCH($L130,$Z$105:$AJ$105,1)+1),
INDEX($Z$105:$AJ$105,MATCH($L130,$Z$105:$AJ$105,1)):INDEX($Z$105:$AJ$105,MATCH($L130,$Z$105:$AJ$105,1)+1)),0)</f>
        <v>1521.4558373193731</v>
      </c>
      <c r="W130" s="162">
        <f>ABS($L130-$L131)*IF($B130,FORECAST($L130,
INDEX($Z$121:$AJ$121,MATCH($L130,$Z$105:$AJ$105,1)):INDEX($Z$121:$AJ$121,MATCH($L130,$Z$105:$AJ$105,1)+1),
INDEX($Z$105:$AJ$105,MATCH($L130,$Z$105:$AJ$105,1)):INDEX($Z$105:$AJ$105,MATCH($L130,$Z$105:$AJ$105,1)+1)),0)</f>
        <v>1689.3909500321517</v>
      </c>
      <c r="X130" s="162">
        <f>ABS($L130-$L131)*IF($B130,FORECAST($L130,
INDEX($Z$122:$AJ$122,MATCH($L130,$Z$105:$AJ$105,1)):INDEX($Z$122:$AJ$122,MATCH($L130,$Z$105:$AJ$105,1)+1),
INDEX($Z$105:$AJ$105,MATCH($L130,$Z$105:$AJ$105,1)):INDEX($Z$105:$AJ$105,MATCH($L130,$Z$105:$AJ$105,1)+1)),0)</f>
        <v>1363.8501117091669</v>
      </c>
      <c r="AM130" s="44">
        <f t="shared" si="38"/>
        <v>360</v>
      </c>
      <c r="AN130" s="45">
        <f t="shared" si="55"/>
        <v>979</v>
      </c>
      <c r="AO130" s="54">
        <f t="shared" si="9"/>
        <v>0.39160095299303066</v>
      </c>
      <c r="AP130" s="54">
        <f t="shared" si="10"/>
        <v>0.39160095299303066</v>
      </c>
      <c r="AQ130" s="54">
        <f t="shared" si="73"/>
        <v>0.78320190598606132</v>
      </c>
      <c r="AR130" s="46">
        <f t="shared" si="11"/>
        <v>2.4468319021559823</v>
      </c>
      <c r="AS130" s="47">
        <f t="shared" si="40"/>
        <v>1.376468929063295E-4</v>
      </c>
      <c r="AT130" s="47">
        <f t="shared" si="56"/>
        <v>1.2568397582116659E-6</v>
      </c>
      <c r="AU130" s="48">
        <f t="shared" si="41"/>
        <v>94.510099704953802</v>
      </c>
      <c r="AV130" s="48">
        <f t="shared" si="12"/>
        <v>968.26152552128826</v>
      </c>
      <c r="AW130" s="140">
        <f t="shared" si="42"/>
        <v>-21.743673416007304</v>
      </c>
      <c r="AX130" s="53"/>
      <c r="AZ130" s="50">
        <f t="shared" si="43"/>
        <v>208.58798783875324</v>
      </c>
      <c r="BA130" s="50">
        <f t="shared" si="44"/>
        <v>208.58798783875324</v>
      </c>
      <c r="BB130" s="50">
        <f t="shared" si="13"/>
        <v>489.24200255866322</v>
      </c>
      <c r="BD130" s="50">
        <f t="shared" si="14"/>
        <v>360</v>
      </c>
      <c r="BE130" s="50">
        <f t="shared" si="15"/>
        <v>979</v>
      </c>
      <c r="BF130" s="53">
        <f t="shared" si="16"/>
        <v>0.78320190598606132</v>
      </c>
      <c r="BG130" s="53">
        <f t="shared" si="45"/>
        <v>1.376468929063295E-4</v>
      </c>
      <c r="BH130" s="53">
        <f t="shared" si="46"/>
        <v>968.26152552128826</v>
      </c>
      <c r="BI130" s="127">
        <f t="shared" si="47"/>
        <v>-21.743673416007304</v>
      </c>
      <c r="BK130" s="44">
        <f t="shared" si="48"/>
        <v>360</v>
      </c>
      <c r="BL130" s="45">
        <f t="shared" si="57"/>
        <v>979</v>
      </c>
      <c r="BM130" s="119" cm="1">
        <f t="array" ref="BM130">IF(($AG$51=0),0,
_xlfn.IFS(BK130&lt;=$BL$102,($AG$53*(1-(BK130/$BL$102))),AND(BK130&gt;$BL$102,BK130&lt;($AG$55+$BL$102)),0,BK130&gt;=($AG$55+$BL$102),($AG$53*((BK130-($AG$55+$BL$102))/$BL$102)))-$AG$54)</f>
        <v>0</v>
      </c>
      <c r="BN130" s="119" cm="1">
        <f t="array" ref="BN130">IF(($AG$51=0),0,
_xlfn.IFS(BK130&lt;=$BL$102,($BL$103*(1-(BK130/$BL$102))),AND(BK130&gt;$BL$102,BK130&lt;($AG$55+$BL$102)),0,BK130&gt;=($AG$55+$BL$102),($BL$103*((BK130-($AG$55+$BL$102))/$BL$102))))</f>
        <v>0</v>
      </c>
      <c r="BO130" s="120">
        <f t="shared" si="17"/>
        <v>0</v>
      </c>
      <c r="BP130" s="121">
        <f t="shared" si="18"/>
        <v>0</v>
      </c>
      <c r="BQ130" s="121">
        <f t="shared" si="58"/>
        <v>0</v>
      </c>
      <c r="BR130" s="48">
        <f t="shared" si="19"/>
        <v>0</v>
      </c>
      <c r="BS130" s="48">
        <f t="shared" si="20"/>
        <v>979</v>
      </c>
      <c r="BU130" s="122"/>
      <c r="BW130" s="50">
        <f t="shared" si="64"/>
        <v>360</v>
      </c>
      <c r="BX130" s="50">
        <f t="shared" si="65"/>
        <v>979</v>
      </c>
      <c r="BY130" s="53">
        <f t="shared" si="66"/>
        <v>0</v>
      </c>
      <c r="BZ130" s="53">
        <f t="shared" si="67"/>
        <v>0</v>
      </c>
      <c r="CA130" s="53">
        <f t="shared" si="68"/>
        <v>979</v>
      </c>
      <c r="CC130" s="126">
        <f t="shared" si="54"/>
        <v>968.26152552128826</v>
      </c>
      <c r="CD130" s="127">
        <f t="shared" si="21"/>
        <v>9.7597598901932532</v>
      </c>
    </row>
    <row r="131" spans="2:82" x14ac:dyDescent="0.35">
      <c r="B131" s="50" t="b">
        <f t="shared" si="22"/>
        <v>1</v>
      </c>
      <c r="C131" s="21">
        <f t="shared" si="23"/>
        <v>49.722222222222193</v>
      </c>
      <c r="D131" s="13">
        <f t="shared" si="24"/>
        <v>1.966202486302449</v>
      </c>
      <c r="E131" s="143">
        <f t="shared" si="25"/>
        <v>141.14593338320037</v>
      </c>
      <c r="F131" s="52">
        <f t="shared" si="26"/>
        <v>1.0106926103729788</v>
      </c>
      <c r="G131" s="50">
        <f t="shared" si="27"/>
        <v>72.55364228679629</v>
      </c>
      <c r="H131" s="50">
        <f t="shared" si="5"/>
        <v>213.69957566999665</v>
      </c>
      <c r="I131" s="16">
        <f t="shared" si="28"/>
        <v>7.2537848629602166</v>
      </c>
      <c r="J131" s="22">
        <f t="shared" si="29"/>
        <v>3.2873649257222651E-2</v>
      </c>
      <c r="K131" s="15">
        <f t="shared" si="59"/>
        <v>717.18928421608416</v>
      </c>
      <c r="L131" s="15">
        <f t="shared" si="6"/>
        <v>484.42369754548071</v>
      </c>
      <c r="M131" s="17">
        <f t="shared" si="30"/>
        <v>0.44114186971609332</v>
      </c>
      <c r="N131" s="15">
        <f t="shared" si="31"/>
        <v>327.197056262947</v>
      </c>
      <c r="O131" s="17">
        <f t="shared" si="32"/>
        <v>0.67543569383747526</v>
      </c>
      <c r="P131" s="15">
        <f t="shared" si="33"/>
        <v>0</v>
      </c>
      <c r="Q131" s="7">
        <f t="shared" si="34"/>
        <v>0</v>
      </c>
      <c r="R131" s="17">
        <f t="shared" si="7"/>
        <v>0.67543569383747526</v>
      </c>
      <c r="S131" s="17">
        <f t="shared" si="35"/>
        <v>0.46844733604857158</v>
      </c>
      <c r="T131" s="162">
        <f t="shared" si="36"/>
        <v>1059.5031403986575</v>
      </c>
      <c r="U131" s="162">
        <f>ABS($L131-$L132)*IF($B131,FORECAST($L131,
INDEX($Z$119:$AJ$119,MATCH($L131,$Z$105:$AJ$105,1)):INDEX($Z$119:$AJ$119,MATCH($L131,$Z$105:$AJ$105,1)+1),
INDEX($Z$105:$AJ$105,MATCH($L131,$Z$105:$AJ$105,1)):INDEX($Z$105:$AJ$105,MATCH($L131,$Z$105:$AJ$105,1)+1)),0)</f>
        <v>0</v>
      </c>
      <c r="V131" s="162">
        <f>ABS($L131-$L132)*IF($B131,FORECAST($L131,
INDEX($Z$120:$AJ$120,MATCH($L131,$Z$105:$AJ$105,1)):INDEX($Z$120:$AJ$120,MATCH($L131,$Z$105:$AJ$105,1)+1),
INDEX($Z$105:$AJ$105,MATCH($L131,$Z$105:$AJ$105,1)):INDEX($Z$105:$AJ$105,MATCH($L131,$Z$105:$AJ$105,1)+1)),0)</f>
        <v>1549.1154049768818</v>
      </c>
      <c r="W131" s="162">
        <f>ABS($L131-$L132)*IF($B131,FORECAST($L131,
INDEX($Z$121:$AJ$121,MATCH($L131,$Z$105:$AJ$105,1)):INDEX($Z$121:$AJ$121,MATCH($L131,$Z$105:$AJ$105,1)+1),
INDEX($Z$105:$AJ$105,MATCH($L131,$Z$105:$AJ$105,1)):INDEX($Z$105:$AJ$105,MATCH($L131,$Z$105:$AJ$105,1)+1)),0)</f>
        <v>1719.2205574712411</v>
      </c>
      <c r="X131" s="162">
        <f>ABS($L131-$L132)*IF($B131,FORECAST($L131,
INDEX($Z$122:$AJ$122,MATCH($L131,$Z$105:$AJ$105,1)):INDEX($Z$122:$AJ$122,MATCH($L131,$Z$105:$AJ$105,1)+1),
INDEX($Z$105:$AJ$105,MATCH($L131,$Z$105:$AJ$105,1)):INDEX($Z$105:$AJ$105,MATCH($L131,$Z$105:$AJ$105,1)+1)),0)</f>
        <v>1387.7195467097729</v>
      </c>
      <c r="AM131" s="44">
        <f t="shared" si="38"/>
        <v>375</v>
      </c>
      <c r="AN131" s="45">
        <f t="shared" si="55"/>
        <v>979</v>
      </c>
      <c r="AO131" s="54">
        <f t="shared" si="9"/>
        <v>0.43750098437885754</v>
      </c>
      <c r="AP131" s="54">
        <f t="shared" si="10"/>
        <v>0.43750098437885754</v>
      </c>
      <c r="AQ131" s="54">
        <f t="shared" si="73"/>
        <v>0.87500196875771508</v>
      </c>
      <c r="AR131" s="46">
        <f t="shared" si="11"/>
        <v>2.7336280916095888</v>
      </c>
      <c r="AS131" s="47">
        <f t="shared" si="40"/>
        <v>1.5378065523829839E-4</v>
      </c>
      <c r="AT131" s="47">
        <f t="shared" si="56"/>
        <v>1.2568383831324111E-6</v>
      </c>
      <c r="AU131" s="48">
        <f t="shared" si="41"/>
        <v>105.48751066002151</v>
      </c>
      <c r="AV131" s="48">
        <f t="shared" si="12"/>
        <v>979.23893647635612</v>
      </c>
      <c r="AW131" s="140">
        <f t="shared" si="42"/>
        <v>-1.1557044081461108</v>
      </c>
      <c r="AX131" s="53"/>
      <c r="AZ131" s="50">
        <f t="shared" si="43"/>
        <v>213.69957566999665</v>
      </c>
      <c r="BA131" s="50">
        <f t="shared" si="44"/>
        <v>213.69957566999665</v>
      </c>
      <c r="BB131" s="50">
        <f t="shared" si="13"/>
        <v>484.42369754548071</v>
      </c>
      <c r="BD131" s="50">
        <f t="shared" si="14"/>
        <v>375</v>
      </c>
      <c r="BE131" s="50">
        <f t="shared" si="15"/>
        <v>979</v>
      </c>
      <c r="BF131" s="53">
        <f t="shared" si="16"/>
        <v>0.87500196875771508</v>
      </c>
      <c r="BG131" s="53">
        <f t="shared" si="45"/>
        <v>1.5378065523829839E-4</v>
      </c>
      <c r="BH131" s="53">
        <f t="shared" si="46"/>
        <v>979.23893647635612</v>
      </c>
      <c r="BI131" s="127">
        <f t="shared" si="47"/>
        <v>-1.1557044081461108</v>
      </c>
      <c r="BK131" s="44">
        <f t="shared" si="48"/>
        <v>375</v>
      </c>
      <c r="BL131" s="45">
        <f t="shared" si="57"/>
        <v>979</v>
      </c>
      <c r="BM131" s="119" cm="1">
        <f t="array" ref="BM131">IF(($AG$51=0),0,
_xlfn.IFS(BK131&lt;=$BL$102,($AG$53*(1-(BK131/$BL$102))),AND(BK131&gt;$BL$102,BK131&lt;($AG$55+$BL$102)),0,BK131&gt;=($AG$55+$BL$102),($AG$53*((BK131-($AG$55+$BL$102))/$BL$102)))-$AG$54)</f>
        <v>0</v>
      </c>
      <c r="BN131" s="119" cm="1">
        <f t="array" ref="BN131">IF(($AG$51=0),0,
_xlfn.IFS(BK131&lt;=$BL$102,($BL$103*(1-(BK131/$BL$102))),AND(BK131&gt;$BL$102,BK131&lt;($AG$55+$BL$102)),0,BK131&gt;=($AG$55+$BL$102),($BL$103*((BK131-($AG$55+$BL$102))/$BL$102))))</f>
        <v>0</v>
      </c>
      <c r="BO131" s="120">
        <f t="shared" si="17"/>
        <v>0</v>
      </c>
      <c r="BP131" s="121">
        <f t="shared" si="18"/>
        <v>0</v>
      </c>
      <c r="BQ131" s="121">
        <f t="shared" si="58"/>
        <v>0</v>
      </c>
      <c r="BR131" s="48">
        <f t="shared" si="19"/>
        <v>0</v>
      </c>
      <c r="BS131" s="48">
        <f t="shared" si="20"/>
        <v>979</v>
      </c>
      <c r="BU131" s="122"/>
      <c r="BW131" s="50">
        <f t="shared" si="64"/>
        <v>375</v>
      </c>
      <c r="BX131" s="50">
        <f t="shared" si="65"/>
        <v>979</v>
      </c>
      <c r="BY131" s="53">
        <f t="shared" si="66"/>
        <v>0</v>
      </c>
      <c r="BZ131" s="53">
        <f t="shared" si="67"/>
        <v>0</v>
      </c>
      <c r="CA131" s="53">
        <f t="shared" si="68"/>
        <v>979</v>
      </c>
      <c r="CC131" s="126">
        <f t="shared" si="54"/>
        <v>979.23893647635612</v>
      </c>
      <c r="CD131" s="127">
        <f t="shared" si="21"/>
        <v>9.6503515618000257</v>
      </c>
    </row>
    <row r="132" spans="2:82" x14ac:dyDescent="0.35">
      <c r="B132" s="50" t="b">
        <f t="shared" si="22"/>
        <v>1</v>
      </c>
      <c r="C132" s="21">
        <f t="shared" si="23"/>
        <v>51.71111111111108</v>
      </c>
      <c r="D132" s="13">
        <f t="shared" si="24"/>
        <v>1.9990761355596716</v>
      </c>
      <c r="E132" s="143">
        <f t="shared" si="25"/>
        <v>143.50580320355056</v>
      </c>
      <c r="F132" s="52">
        <f t="shared" si="26"/>
        <v>1.0495654030796318</v>
      </c>
      <c r="G132" s="50">
        <f t="shared" si="27"/>
        <v>75.34416699013461</v>
      </c>
      <c r="H132" s="50">
        <f t="shared" si="5"/>
        <v>218.84997019368518</v>
      </c>
      <c r="I132" s="16">
        <f t="shared" si="28"/>
        <v>7.3750635110310663</v>
      </c>
      <c r="J132" s="22">
        <f t="shared" si="29"/>
        <v>3.3423275668040174E-2</v>
      </c>
      <c r="K132" s="15">
        <f t="shared" si="59"/>
        <v>709.93649935312396</v>
      </c>
      <c r="L132" s="15">
        <f t="shared" si="6"/>
        <v>479.52482225810468</v>
      </c>
      <c r="M132" s="17">
        <f t="shared" si="30"/>
        <v>0.45638924208993081</v>
      </c>
      <c r="N132" s="15">
        <f t="shared" si="31"/>
        <v>327.45141948529755</v>
      </c>
      <c r="O132" s="17">
        <f t="shared" si="32"/>
        <v>0.68286646339456125</v>
      </c>
      <c r="P132" s="15">
        <f t="shared" si="33"/>
        <v>0</v>
      </c>
      <c r="Q132" s="7">
        <f t="shared" si="34"/>
        <v>0</v>
      </c>
      <c r="R132" s="17">
        <f t="shared" si="7"/>
        <v>0.68286646339456125</v>
      </c>
      <c r="S132" s="17">
        <f t="shared" si="35"/>
        <v>0.4736009342897764</v>
      </c>
      <c r="T132" s="162">
        <f t="shared" si="36"/>
        <v>1102.971105367455</v>
      </c>
      <c r="U132" s="162">
        <f>ABS($L132-$L133)*IF($B132,FORECAST($L132,
INDEX($Z$119:$AJ$119,MATCH($L132,$Z$105:$AJ$105,1)):INDEX($Z$119:$AJ$119,MATCH($L132,$Z$105:$AJ$105,1)+1),
INDEX($Z$105:$AJ$105,MATCH($L132,$Z$105:$AJ$105,1)):INDEX($Z$105:$AJ$105,MATCH($L132,$Z$105:$AJ$105,1)+1)),0)</f>
        <v>0</v>
      </c>
      <c r="V132" s="162">
        <f>ABS($L132-$L133)*IF($B132,FORECAST($L132,
INDEX($Z$120:$AJ$120,MATCH($L132,$Z$105:$AJ$105,1)):INDEX($Z$120:$AJ$120,MATCH($L132,$Z$105:$AJ$105,1)+1),
INDEX($Z$105:$AJ$105,MATCH($L132,$Z$105:$AJ$105,1)):INDEX($Z$105:$AJ$105,MATCH($L132,$Z$105:$AJ$105,1)+1)),0)</f>
        <v>1577.3122334604443</v>
      </c>
      <c r="W132" s="162">
        <f>ABS($L132-$L133)*IF($B132,FORECAST($L132,
INDEX($Z$121:$AJ$121,MATCH($L132,$Z$105:$AJ$105,1)):INDEX($Z$121:$AJ$121,MATCH($L132,$Z$105:$AJ$105,1)+1),
INDEX($Z$105:$AJ$105,MATCH($L132,$Z$105:$AJ$105,1)):INDEX($Z$105:$AJ$105,MATCH($L132,$Z$105:$AJ$105,1)+1)),0)</f>
        <v>1749.6021865781486</v>
      </c>
      <c r="X132" s="162">
        <f>ABS($L132-$L133)*IF($B132,FORECAST($L132,
INDEX($Z$122:$AJ$122,MATCH($L132,$Z$105:$AJ$105,1)):INDEX($Z$122:$AJ$122,MATCH($L132,$Z$105:$AJ$105,1)+1),
INDEX($Z$105:$AJ$105,MATCH($L132,$Z$105:$AJ$105,1)):INDEX($Z$105:$AJ$105,MATCH($L132,$Z$105:$AJ$105,1)+1)),0)</f>
        <v>1412.0239314734897</v>
      </c>
      <c r="AM132" s="44">
        <f t="shared" si="38"/>
        <v>390</v>
      </c>
      <c r="AN132" s="45">
        <f t="shared" si="55"/>
        <v>979</v>
      </c>
      <c r="AO132" s="54">
        <f t="shared" si="9"/>
        <v>0.48160099863889627</v>
      </c>
      <c r="AP132" s="54">
        <f t="shared" si="10"/>
        <v>0.48160099863889627</v>
      </c>
      <c r="AQ132" s="54">
        <f t="shared" si="73"/>
        <v>0.96320199727779254</v>
      </c>
      <c r="AR132" s="46">
        <f t="shared" si="11"/>
        <v>3.0091772723566463</v>
      </c>
      <c r="AS132" s="47">
        <f t="shared" si="40"/>
        <v>1.6928171542118103E-4</v>
      </c>
      <c r="AT132" s="47">
        <f t="shared" si="56"/>
        <v>1.2568370436155924E-6</v>
      </c>
      <c r="AU132" s="48">
        <f t="shared" si="41"/>
        <v>116.03443109704763</v>
      </c>
      <c r="AV132" s="48">
        <f t="shared" si="12"/>
        <v>989.78585691338219</v>
      </c>
      <c r="AW132" s="140">
        <f t="shared" si="42"/>
        <v>18.624886136553776</v>
      </c>
      <c r="AX132" s="53"/>
      <c r="AZ132" s="50">
        <f t="shared" si="43"/>
        <v>218.84997019368518</v>
      </c>
      <c r="BA132" s="50">
        <f t="shared" si="44"/>
        <v>218.84997019368518</v>
      </c>
      <c r="BB132" s="50">
        <f t="shared" si="13"/>
        <v>479.52482225810468</v>
      </c>
      <c r="BD132" s="50">
        <f t="shared" si="14"/>
        <v>390</v>
      </c>
      <c r="BE132" s="50">
        <f t="shared" si="15"/>
        <v>979</v>
      </c>
      <c r="BF132" s="53">
        <f t="shared" si="16"/>
        <v>0.96320199727779254</v>
      </c>
      <c r="BG132" s="53">
        <f t="shared" si="45"/>
        <v>1.6928171542118103E-4</v>
      </c>
      <c r="BH132" s="53">
        <f t="shared" si="46"/>
        <v>989.78585691338219</v>
      </c>
      <c r="BI132" s="127">
        <f t="shared" si="47"/>
        <v>18.624886136553776</v>
      </c>
      <c r="BK132" s="44">
        <f t="shared" si="48"/>
        <v>390</v>
      </c>
      <c r="BL132" s="45">
        <f t="shared" si="57"/>
        <v>979</v>
      </c>
      <c r="BM132" s="119" cm="1">
        <f t="array" ref="BM132">IF(($AG$51=0),0,
_xlfn.IFS(BK132&lt;=$BL$102,($AG$53*(1-(BK132/$BL$102))),AND(BK132&gt;$BL$102,BK132&lt;($AG$55+$BL$102)),0,BK132&gt;=($AG$55+$BL$102),($AG$53*((BK132-($AG$55+$BL$102))/$BL$102)))-$AG$54)</f>
        <v>0</v>
      </c>
      <c r="BN132" s="119" cm="1">
        <f t="array" ref="BN132">IF(($AG$51=0),0,
_xlfn.IFS(BK132&lt;=$BL$102,($BL$103*(1-(BK132/$BL$102))),AND(BK132&gt;$BL$102,BK132&lt;($AG$55+$BL$102)),0,BK132&gt;=($AG$55+$BL$102),($BL$103*((BK132-($AG$55+$BL$102))/$BL$102))))</f>
        <v>0</v>
      </c>
      <c r="BO132" s="120">
        <f t="shared" si="17"/>
        <v>0</v>
      </c>
      <c r="BP132" s="121">
        <f t="shared" si="18"/>
        <v>0</v>
      </c>
      <c r="BQ132" s="121">
        <f t="shared" si="58"/>
        <v>0</v>
      </c>
      <c r="BR132" s="48">
        <f t="shared" si="19"/>
        <v>0</v>
      </c>
      <c r="BS132" s="48">
        <f t="shared" si="20"/>
        <v>979</v>
      </c>
      <c r="BU132" s="122"/>
      <c r="BW132" s="50">
        <f t="shared" si="64"/>
        <v>390</v>
      </c>
      <c r="BX132" s="50">
        <f t="shared" si="65"/>
        <v>979</v>
      </c>
      <c r="BY132" s="53">
        <f t="shared" si="66"/>
        <v>0</v>
      </c>
      <c r="BZ132" s="53">
        <f t="shared" si="67"/>
        <v>0</v>
      </c>
      <c r="CA132" s="53">
        <f t="shared" si="68"/>
        <v>979</v>
      </c>
      <c r="CC132" s="126">
        <f t="shared" si="54"/>
        <v>989.78585691338219</v>
      </c>
      <c r="CD132" s="127">
        <f t="shared" si="21"/>
        <v>9.5475197326718177</v>
      </c>
    </row>
    <row r="133" spans="2:82" x14ac:dyDescent="0.35">
      <c r="B133" s="50" t="b">
        <f t="shared" si="22"/>
        <v>1</v>
      </c>
      <c r="C133" s="21">
        <f t="shared" si="23"/>
        <v>53.699999999999967</v>
      </c>
      <c r="D133" s="13">
        <f t="shared" si="24"/>
        <v>2.0324994112277119</v>
      </c>
      <c r="E133" s="143">
        <f t="shared" si="25"/>
        <v>145.90512853944779</v>
      </c>
      <c r="F133" s="52">
        <f t="shared" si="26"/>
        <v>1.0884381957862848</v>
      </c>
      <c r="G133" s="50">
        <f t="shared" si="27"/>
        <v>78.134691693472917</v>
      </c>
      <c r="H133" s="50">
        <f t="shared" si="5"/>
        <v>224.0398202329207</v>
      </c>
      <c r="I133" s="16">
        <f t="shared" si="28"/>
        <v>7.4983698606061351</v>
      </c>
      <c r="J133" s="22">
        <f t="shared" si="29"/>
        <v>3.3982091481260343E-2</v>
      </c>
      <c r="K133" s="15">
        <f t="shared" si="59"/>
        <v>702.5624358420929</v>
      </c>
      <c r="L133" s="15">
        <f t="shared" si="6"/>
        <v>474.54402961303134</v>
      </c>
      <c r="M133" s="17">
        <f t="shared" si="30"/>
        <v>0.47211598134658822</v>
      </c>
      <c r="N133" s="15">
        <f t="shared" si="31"/>
        <v>327.63622321850534</v>
      </c>
      <c r="O133" s="17">
        <f t="shared" si="32"/>
        <v>0.69042323319435184</v>
      </c>
      <c r="P133" s="15">
        <f t="shared" si="33"/>
        <v>0</v>
      </c>
      <c r="Q133" s="7">
        <f t="shared" si="34"/>
        <v>0</v>
      </c>
      <c r="R133" s="17">
        <f t="shared" si="7"/>
        <v>0.69042323319435184</v>
      </c>
      <c r="S133" s="17">
        <f t="shared" si="35"/>
        <v>0.47884191979608276</v>
      </c>
      <c r="T133" s="162">
        <f t="shared" si="36"/>
        <v>1147.797965294046</v>
      </c>
      <c r="U133" s="162">
        <f>ABS($L133-$L134)*IF($B133,FORECAST($L133,
INDEX($Z$119:$AJ$119,MATCH($L133,$Z$105:$AJ$105,1)):INDEX($Z$119:$AJ$119,MATCH($L133,$Z$105:$AJ$105,1)+1),
INDEX($Z$105:$AJ$105,MATCH($L133,$Z$105:$AJ$105,1)):INDEX($Z$105:$AJ$105,MATCH($L133,$Z$105:$AJ$105,1)+1)),0)</f>
        <v>0</v>
      </c>
      <c r="V133" s="162">
        <f>ABS($L133-$L134)*IF($B133,FORECAST($L133,
INDEX($Z$120:$AJ$120,MATCH($L133,$Z$105:$AJ$105,1)):INDEX($Z$120:$AJ$120,MATCH($L133,$Z$105:$AJ$105,1)+1),
INDEX($Z$105:$AJ$105,MATCH($L133,$Z$105:$AJ$105,1)):INDEX($Z$105:$AJ$105,MATCH($L133,$Z$105:$AJ$105,1)+1)),0)</f>
        <v>1606.0578279969486</v>
      </c>
      <c r="W133" s="162">
        <f>ABS($L133-$L134)*IF($B133,FORECAST($L133,
INDEX($Z$121:$AJ$121,MATCH($L133,$Z$105:$AJ$105,1)):INDEX($Z$121:$AJ$121,MATCH($L133,$Z$105:$AJ$105,1)+1),
INDEX($Z$105:$AJ$105,MATCH($L133,$Z$105:$AJ$105,1)):INDEX($Z$105:$AJ$105,MATCH($L133,$Z$105:$AJ$105,1)+1)),0)</f>
        <v>1780.5468637010142</v>
      </c>
      <c r="X133" s="162">
        <f>ABS($L133-$L134)*IF($B133,FORECAST($L133,
INDEX($Z$122:$AJ$122,MATCH($L133,$Z$105:$AJ$105,1)):INDEX($Z$122:$AJ$122,MATCH($L133,$Z$105:$AJ$105,1)+1),
INDEX($Z$105:$AJ$105,MATCH($L133,$Z$105:$AJ$105,1)):INDEX($Z$105:$AJ$105,MATCH($L133,$Z$105:$AJ$105,1)+1)),0)</f>
        <v>1436.7717475334023</v>
      </c>
      <c r="AM133" s="44">
        <f t="shared" si="38"/>
        <v>405</v>
      </c>
      <c r="AN133" s="45">
        <f t="shared" si="55"/>
        <v>979</v>
      </c>
      <c r="AO133" s="54">
        <f t="shared" si="9"/>
        <v>0.52390099770855159</v>
      </c>
      <c r="AP133" s="54">
        <f t="shared" si="10"/>
        <v>0.52390099770855159</v>
      </c>
      <c r="AQ133" s="54">
        <f t="shared" si="73"/>
        <v>1.0478019954171032</v>
      </c>
      <c r="AR133" s="46">
        <f t="shared" si="11"/>
        <v>3.2734794564901026</v>
      </c>
      <c r="AS133" s="47">
        <f t="shared" si="40"/>
        <v>1.8415007413526797E-4</v>
      </c>
      <c r="AT133" s="47">
        <f t="shared" si="56"/>
        <v>1.2568357684496759E-6</v>
      </c>
      <c r="AU133" s="48">
        <f t="shared" si="41"/>
        <v>126.15086149848948</v>
      </c>
      <c r="AV133" s="48">
        <f t="shared" si="12"/>
        <v>999.90228731482409</v>
      </c>
      <c r="AW133" s="140">
        <f t="shared" si="42"/>
        <v>37.598099086197436</v>
      </c>
      <c r="AX133" s="53"/>
      <c r="AZ133" s="50">
        <f t="shared" si="43"/>
        <v>224.0398202329207</v>
      </c>
      <c r="BA133" s="50">
        <f t="shared" si="44"/>
        <v>224.0398202329207</v>
      </c>
      <c r="BB133" s="50">
        <f t="shared" si="13"/>
        <v>474.54402961303134</v>
      </c>
      <c r="BD133" s="50">
        <f t="shared" si="14"/>
        <v>405</v>
      </c>
      <c r="BE133" s="50">
        <f t="shared" si="15"/>
        <v>979</v>
      </c>
      <c r="BF133" s="53">
        <f t="shared" si="16"/>
        <v>1.0478019954171032</v>
      </c>
      <c r="BG133" s="53">
        <f t="shared" si="45"/>
        <v>1.8415007413526797E-4</v>
      </c>
      <c r="BH133" s="53">
        <f t="shared" si="46"/>
        <v>999.90228731482409</v>
      </c>
      <c r="BI133" s="127">
        <f t="shared" si="47"/>
        <v>37.598099086197436</v>
      </c>
      <c r="BK133" s="44">
        <f t="shared" si="48"/>
        <v>405</v>
      </c>
      <c r="BL133" s="45">
        <f t="shared" si="57"/>
        <v>979</v>
      </c>
      <c r="BM133" s="119" cm="1">
        <f t="array" ref="BM133">IF(($AG$51=0),0,
_xlfn.IFS(BK133&lt;=$BL$102,($AG$53*(1-(BK133/$BL$102))),AND(BK133&gt;$BL$102,BK133&lt;($AG$55+$BL$102)),0,BK133&gt;=($AG$55+$BL$102),($AG$53*((BK133-($AG$55+$BL$102))/$BL$102)))-$AG$54)</f>
        <v>0</v>
      </c>
      <c r="BN133" s="119" cm="1">
        <f t="array" ref="BN133">IF(($AG$51=0),0,
_xlfn.IFS(BK133&lt;=$BL$102,($BL$103*(1-(BK133/$BL$102))),AND(BK133&gt;$BL$102,BK133&lt;($AG$55+$BL$102)),0,BK133&gt;=($AG$55+$BL$102),($BL$103*((BK133-($AG$55+$BL$102))/$BL$102))))</f>
        <v>0</v>
      </c>
      <c r="BO133" s="120">
        <f t="shared" si="17"/>
        <v>0</v>
      </c>
      <c r="BP133" s="121">
        <f t="shared" si="18"/>
        <v>0</v>
      </c>
      <c r="BQ133" s="121">
        <f t="shared" si="58"/>
        <v>0</v>
      </c>
      <c r="BR133" s="48">
        <f t="shared" si="19"/>
        <v>0</v>
      </c>
      <c r="BS133" s="48">
        <f t="shared" si="20"/>
        <v>979</v>
      </c>
      <c r="BU133" s="122"/>
      <c r="BW133" s="50">
        <f t="shared" si="64"/>
        <v>405</v>
      </c>
      <c r="BX133" s="50">
        <f t="shared" si="65"/>
        <v>979</v>
      </c>
      <c r="BY133" s="53">
        <f t="shared" si="66"/>
        <v>0</v>
      </c>
      <c r="BZ133" s="53">
        <f t="shared" si="67"/>
        <v>0</v>
      </c>
      <c r="CA133" s="53">
        <f t="shared" si="68"/>
        <v>979</v>
      </c>
      <c r="CC133" s="126">
        <f t="shared" si="54"/>
        <v>999.90228731482409</v>
      </c>
      <c r="CD133" s="127">
        <f t="shared" si="21"/>
        <v>9.4509234751101445</v>
      </c>
    </row>
    <row r="134" spans="2:82" x14ac:dyDescent="0.35">
      <c r="B134" s="50" t="b">
        <f t="shared" si="22"/>
        <v>1</v>
      </c>
      <c r="C134" s="21">
        <f t="shared" si="23"/>
        <v>55.688888888888854</v>
      </c>
      <c r="D134" s="13">
        <f t="shared" si="24"/>
        <v>2.0664815027089722</v>
      </c>
      <c r="E134" s="143">
        <f t="shared" si="25"/>
        <v>148.34456906190167</v>
      </c>
      <c r="F134" s="52">
        <f t="shared" si="26"/>
        <v>1.1273109884929378</v>
      </c>
      <c r="G134" s="50">
        <f t="shared" si="27"/>
        <v>80.925216396811237</v>
      </c>
      <c r="H134" s="50">
        <f t="shared" si="5"/>
        <v>229.2697854587129</v>
      </c>
      <c r="I134" s="16">
        <f t="shared" si="28"/>
        <v>7.6237378135589609</v>
      </c>
      <c r="J134" s="22">
        <f t="shared" si="29"/>
        <v>3.4550250337819714E-2</v>
      </c>
      <c r="K134" s="15">
        <f t="shared" si="59"/>
        <v>695.06506598148678</v>
      </c>
      <c r="L134" s="15">
        <f t="shared" si="6"/>
        <v>469.47995000438152</v>
      </c>
      <c r="M134" s="17">
        <f t="shared" si="30"/>
        <v>0.48834840647949546</v>
      </c>
      <c r="N134" s="15">
        <f t="shared" si="31"/>
        <v>327.74781512193289</v>
      </c>
      <c r="O134" s="17">
        <f t="shared" si="32"/>
        <v>0.69810822617424684</v>
      </c>
      <c r="P134" s="15">
        <f t="shared" si="33"/>
        <v>0</v>
      </c>
      <c r="Q134" s="7">
        <f t="shared" si="34"/>
        <v>0</v>
      </c>
      <c r="R134" s="17">
        <f t="shared" si="7"/>
        <v>0.69810822617424684</v>
      </c>
      <c r="S134" s="17">
        <f t="shared" si="35"/>
        <v>0.48417183428213895</v>
      </c>
      <c r="T134" s="162">
        <f t="shared" si="36"/>
        <v>1194.0238027887578</v>
      </c>
      <c r="U134" s="162">
        <f>ABS($L134-$L135)*IF($B134,FORECAST($L134,
INDEX($Z$119:$AJ$119,MATCH($L134,$Z$105:$AJ$105,1)):INDEX($Z$119:$AJ$119,MATCH($L134,$Z$105:$AJ$105,1)+1),
INDEX($Z$105:$AJ$105,MATCH($L134,$Z$105:$AJ$105,1)):INDEX($Z$105:$AJ$105,MATCH($L134,$Z$105:$AJ$105,1)+1)),0)</f>
        <v>0</v>
      </c>
      <c r="V134" s="162">
        <f>ABS($L134-$L135)*IF($B134,FORECAST($L134,
INDEX($Z$120:$AJ$120,MATCH($L134,$Z$105:$AJ$105,1)):INDEX($Z$120:$AJ$120,MATCH($L134,$Z$105:$AJ$105,1)+1),
INDEX($Z$105:$AJ$105,MATCH($L134,$Z$105:$AJ$105,1)):INDEX($Z$105:$AJ$105,MATCH($L134,$Z$105:$AJ$105,1)+1)),0)</f>
        <v>1635.3639712315207</v>
      </c>
      <c r="W134" s="162">
        <f>ABS($L134-$L135)*IF($B134,FORECAST($L134,
INDEX($Z$121:$AJ$121,MATCH($L134,$Z$105:$AJ$105,1)):INDEX($Z$121:$AJ$121,MATCH($L134,$Z$105:$AJ$105,1)+1),
INDEX($Z$105:$AJ$105,MATCH($L134,$Z$105:$AJ$105,1)):INDEX($Z$105:$AJ$105,MATCH($L134,$Z$105:$AJ$105,1)+1)),0)</f>
        <v>1812.0658601309053</v>
      </c>
      <c r="X134" s="162">
        <f>ABS($L134-$L135)*IF($B134,FORECAST($L134,
INDEX($Z$122:$AJ$122,MATCH($L134,$Z$105:$AJ$105,1)):INDEX($Z$122:$AJ$122,MATCH($L134,$Z$105:$AJ$105,1)+1),
INDEX($Z$105:$AJ$105,MATCH($L134,$Z$105:$AJ$105,1)):INDEX($Z$105:$AJ$105,MATCH($L134,$Z$105:$AJ$105,1)+1)),0)</f>
        <v>1461.9716590097678</v>
      </c>
      <c r="AM134" s="44">
        <f t="shared" si="38"/>
        <v>420</v>
      </c>
      <c r="AN134" s="45">
        <f t="shared" si="55"/>
        <v>979</v>
      </c>
      <c r="AO134" s="54">
        <f t="shared" si="9"/>
        <v>0.56440098340681288</v>
      </c>
      <c r="AP134" s="54">
        <f t="shared" si="10"/>
        <v>0.56440098340681288</v>
      </c>
      <c r="AQ134" s="54">
        <f t="shared" si="73"/>
        <v>1.1288019668136258</v>
      </c>
      <c r="AR134" s="46">
        <f t="shared" si="11"/>
        <v>3.526534655375511</v>
      </c>
      <c r="AS134" s="47">
        <f t="shared" si="40"/>
        <v>1.9838573201993014E-4</v>
      </c>
      <c r="AT134" s="47">
        <f t="shared" si="56"/>
        <v>1.2568345491676171E-6</v>
      </c>
      <c r="AU134" s="48">
        <f t="shared" si="41"/>
        <v>135.83680229361411</v>
      </c>
      <c r="AV134" s="48">
        <f t="shared" si="12"/>
        <v>1009.5882281099485</v>
      </c>
      <c r="AW134" s="140">
        <f t="shared" si="42"/>
        <v>55.763935256673186</v>
      </c>
      <c r="AX134" s="53"/>
      <c r="AZ134" s="50">
        <f t="shared" si="43"/>
        <v>229.2697854587129</v>
      </c>
      <c r="BA134" s="50">
        <f t="shared" si="44"/>
        <v>229.2697854587129</v>
      </c>
      <c r="BB134" s="50">
        <f t="shared" si="13"/>
        <v>469.47995000438152</v>
      </c>
      <c r="BD134" s="50">
        <f t="shared" si="14"/>
        <v>420</v>
      </c>
      <c r="BE134" s="50">
        <f t="shared" si="15"/>
        <v>979</v>
      </c>
      <c r="BF134" s="53">
        <f t="shared" si="16"/>
        <v>1.1288019668136258</v>
      </c>
      <c r="BG134" s="53">
        <f t="shared" si="45"/>
        <v>1.9838573201993014E-4</v>
      </c>
      <c r="BH134" s="53">
        <f t="shared" si="46"/>
        <v>1009.5882281099485</v>
      </c>
      <c r="BI134" s="127">
        <f t="shared" si="47"/>
        <v>55.763935256673186</v>
      </c>
      <c r="BK134" s="44">
        <f t="shared" si="48"/>
        <v>420</v>
      </c>
      <c r="BL134" s="45">
        <f t="shared" si="57"/>
        <v>979</v>
      </c>
      <c r="BM134" s="119" cm="1">
        <f t="array" ref="BM134">IF(($AG$51=0),0,
_xlfn.IFS(BK134&lt;=$BL$102,($AG$53*(1-(BK134/$BL$102))),AND(BK134&gt;$BL$102,BK134&lt;($AG$55+$BL$102)),0,BK134&gt;=($AG$55+$BL$102),($AG$53*((BK134-($AG$55+$BL$102))/$BL$102)))-$AG$54)</f>
        <v>0</v>
      </c>
      <c r="BN134" s="119" cm="1">
        <f t="array" ref="BN134">IF(($AG$51=0),0,
_xlfn.IFS(BK134&lt;=$BL$102,($BL$103*(1-(BK134/$BL$102))),AND(BK134&gt;$BL$102,BK134&lt;($AG$55+$BL$102)),0,BK134&gt;=($AG$55+$BL$102),($BL$103*((BK134-($AG$55+$BL$102))/$BL$102))))</f>
        <v>0</v>
      </c>
      <c r="BO134" s="120">
        <f t="shared" si="17"/>
        <v>0</v>
      </c>
      <c r="BP134" s="121">
        <f t="shared" si="18"/>
        <v>0</v>
      </c>
      <c r="BQ134" s="121">
        <f t="shared" si="58"/>
        <v>0</v>
      </c>
      <c r="BR134" s="48">
        <f t="shared" si="19"/>
        <v>0</v>
      </c>
      <c r="BS134" s="48">
        <f t="shared" si="20"/>
        <v>979</v>
      </c>
      <c r="BU134" s="122"/>
      <c r="BW134" s="50">
        <f t="shared" si="64"/>
        <v>420</v>
      </c>
      <c r="BX134" s="50">
        <f t="shared" si="65"/>
        <v>979</v>
      </c>
      <c r="BY134" s="53">
        <f t="shared" si="66"/>
        <v>0</v>
      </c>
      <c r="BZ134" s="53">
        <f t="shared" si="67"/>
        <v>0</v>
      </c>
      <c r="CA134" s="53">
        <f t="shared" si="68"/>
        <v>979</v>
      </c>
      <c r="CC134" s="126">
        <f t="shared" si="54"/>
        <v>1009.5882281099485</v>
      </c>
      <c r="CD134" s="127">
        <f t="shared" si="21"/>
        <v>9.3602517708544966</v>
      </c>
    </row>
    <row r="135" spans="2:82" x14ac:dyDescent="0.35">
      <c r="B135" s="50" t="b">
        <f t="shared" si="22"/>
        <v>1</v>
      </c>
      <c r="C135" s="21">
        <f t="shared" si="23"/>
        <v>57.677777777777742</v>
      </c>
      <c r="D135" s="13">
        <f t="shared" si="24"/>
        <v>2.1010317530467919</v>
      </c>
      <c r="E135" s="143">
        <f t="shared" si="25"/>
        <v>150.82479547119971</v>
      </c>
      <c r="F135" s="52">
        <f t="shared" si="26"/>
        <v>1.1661837811995908</v>
      </c>
      <c r="G135" s="50">
        <f t="shared" si="27"/>
        <v>83.715741100149557</v>
      </c>
      <c r="H135" s="50">
        <f t="shared" si="5"/>
        <v>234.54053657134926</v>
      </c>
      <c r="I135" s="16">
        <f t="shared" si="28"/>
        <v>7.7512018385807524</v>
      </c>
      <c r="J135" s="22">
        <f t="shared" si="29"/>
        <v>3.5127908447433166E-2</v>
      </c>
      <c r="K135" s="15">
        <f t="shared" si="59"/>
        <v>687.44232816792783</v>
      </c>
      <c r="L135" s="15">
        <f t="shared" si="6"/>
        <v>464.33119092734069</v>
      </c>
      <c r="M135" s="17">
        <f t="shared" si="30"/>
        <v>0.50511475678154594</v>
      </c>
      <c r="N135" s="15">
        <f t="shared" si="31"/>
        <v>327.78239785070906</v>
      </c>
      <c r="O135" s="17">
        <f t="shared" si="32"/>
        <v>0.70592371190071745</v>
      </c>
      <c r="P135" s="15">
        <f t="shared" si="33"/>
        <v>0</v>
      </c>
      <c r="Q135" s="7">
        <f t="shared" si="34"/>
        <v>0</v>
      </c>
      <c r="R135" s="17">
        <f t="shared" si="7"/>
        <v>0.70592371190071745</v>
      </c>
      <c r="S135" s="17">
        <f t="shared" si="35"/>
        <v>0.48959225180211052</v>
      </c>
      <c r="T135" s="162">
        <f t="shared" si="36"/>
        <v>1241.6898900047074</v>
      </c>
      <c r="U135" s="162">
        <f>ABS($L135-$L136)*IF($B135,FORECAST($L135,
INDEX($Z$119:$AJ$119,MATCH($L135,$Z$105:$AJ$105,1)):INDEX($Z$119:$AJ$119,MATCH($L135,$Z$105:$AJ$105,1)+1),
INDEX($Z$105:$AJ$105,MATCH($L135,$Z$105:$AJ$105,1)):INDEX($Z$105:$AJ$105,MATCH($L135,$Z$105:$AJ$105,1)+1)),0)</f>
        <v>0</v>
      </c>
      <c r="V135" s="162">
        <f>ABS($L135-$L136)*IF($B135,FORECAST($L135,
INDEX($Z$120:$AJ$120,MATCH($L135,$Z$105:$AJ$105,1)):INDEX($Z$120:$AJ$120,MATCH($L135,$Z$105:$AJ$105,1)+1),
INDEX($Z$105:$AJ$105,MATCH($L135,$Z$105:$AJ$105,1)):INDEX($Z$105:$AJ$105,MATCH($L135,$Z$105:$AJ$105,1)+1)),0)</f>
        <v>1665.2427307336434</v>
      </c>
      <c r="W135" s="162">
        <f>ABS($L135-$L136)*IF($B135,FORECAST($L135,
INDEX($Z$121:$AJ$121,MATCH($L135,$Z$105:$AJ$105,1)):INDEX($Z$121:$AJ$121,MATCH($L135,$Z$105:$AJ$105,1)+1),
INDEX($Z$105:$AJ$105,MATCH($L135,$Z$105:$AJ$105,1)):INDEX($Z$105:$AJ$105,MATCH($L135,$Z$105:$AJ$105,1)+1)),0)</f>
        <v>1844.1706982398966</v>
      </c>
      <c r="X135" s="162">
        <f>ABS($L135-$L136)*IF($B135,FORECAST($L135,
INDEX($Z$122:$AJ$122,MATCH($L135,$Z$105:$AJ$105,1)):INDEX($Z$122:$AJ$122,MATCH($L135,$Z$105:$AJ$105,1)+1),
INDEX($Z$105:$AJ$105,MATCH($L135,$Z$105:$AJ$105,1)):INDEX($Z$105:$AJ$105,MATCH($L135,$Z$105:$AJ$105,1)+1)),0)</f>
        <v>1487.6325170376872</v>
      </c>
      <c r="AM135" s="44">
        <f t="shared" si="38"/>
        <v>435</v>
      </c>
      <c r="AN135" s="45">
        <f t="shared" si="55"/>
        <v>979</v>
      </c>
      <c r="AO135" s="54">
        <f t="shared" si="9"/>
        <v>0.60310095747990999</v>
      </c>
      <c r="AP135" s="54">
        <f t="shared" si="10"/>
        <v>0.60310095747990999</v>
      </c>
      <c r="AQ135" s="54">
        <f t="shared" si="73"/>
        <v>1.20620191495982</v>
      </c>
      <c r="AR135" s="46">
        <f t="shared" si="11"/>
        <v>3.7683428799238015</v>
      </c>
      <c r="AS135" s="47">
        <f t="shared" si="40"/>
        <v>2.119886896889635E-4</v>
      </c>
      <c r="AT135" s="47">
        <f t="shared" si="56"/>
        <v>1.2568333823823241E-6</v>
      </c>
      <c r="AU135" s="48">
        <f t="shared" si="41"/>
        <v>145.09225389774369</v>
      </c>
      <c r="AV135" s="48">
        <f t="shared" si="12"/>
        <v>1018.8436797140781</v>
      </c>
      <c r="AW135" s="140">
        <f t="shared" si="42"/>
        <v>73.122395431233713</v>
      </c>
      <c r="AX135" s="53"/>
      <c r="AZ135" s="50">
        <f t="shared" si="43"/>
        <v>234.54053657134926</v>
      </c>
      <c r="BA135" s="50">
        <f t="shared" si="44"/>
        <v>234.54053657134926</v>
      </c>
      <c r="BB135" s="50">
        <f t="shared" si="13"/>
        <v>464.33119092734069</v>
      </c>
      <c r="BD135" s="50">
        <f t="shared" si="14"/>
        <v>435</v>
      </c>
      <c r="BE135" s="50">
        <f t="shared" si="15"/>
        <v>979</v>
      </c>
      <c r="BF135" s="53">
        <f t="shared" si="16"/>
        <v>1.20620191495982</v>
      </c>
      <c r="BG135" s="53">
        <f t="shared" si="45"/>
        <v>2.119886896889635E-4</v>
      </c>
      <c r="BH135" s="53">
        <f t="shared" si="46"/>
        <v>1018.8436797140781</v>
      </c>
      <c r="BI135" s="127">
        <f t="shared" si="47"/>
        <v>73.122395431233713</v>
      </c>
      <c r="BK135" s="44">
        <f t="shared" si="48"/>
        <v>435</v>
      </c>
      <c r="BL135" s="45">
        <f t="shared" si="57"/>
        <v>979</v>
      </c>
      <c r="BM135" s="119" cm="1">
        <f t="array" ref="BM135">IF(($AG$51=0),0,
_xlfn.IFS(BK135&lt;=$BL$102,($AG$53*(1-(BK135/$BL$102))),AND(BK135&gt;$BL$102,BK135&lt;($AG$55+$BL$102)),0,BK135&gt;=($AG$55+$BL$102),($AG$53*((BK135-($AG$55+$BL$102))/$BL$102)))-$AG$54)</f>
        <v>0</v>
      </c>
      <c r="BN135" s="119" cm="1">
        <f t="array" ref="BN135">IF(($AG$51=0),0,
_xlfn.IFS(BK135&lt;=$BL$102,($BL$103*(1-(BK135/$BL$102))),AND(BK135&gt;$BL$102,BK135&lt;($AG$55+$BL$102)),0,BK135&gt;=($AG$55+$BL$102),($BL$103*((BK135-($AG$55+$BL$102))/$BL$102))))</f>
        <v>0</v>
      </c>
      <c r="BO135" s="120">
        <f t="shared" si="17"/>
        <v>0</v>
      </c>
      <c r="BP135" s="121">
        <f t="shared" si="18"/>
        <v>0</v>
      </c>
      <c r="BQ135" s="121">
        <f t="shared" si="58"/>
        <v>0</v>
      </c>
      <c r="BR135" s="48">
        <f t="shared" si="19"/>
        <v>0</v>
      </c>
      <c r="BS135" s="48">
        <f t="shared" si="20"/>
        <v>979</v>
      </c>
      <c r="BU135" s="122"/>
      <c r="BW135" s="50">
        <f t="shared" si="64"/>
        <v>435</v>
      </c>
      <c r="BX135" s="50">
        <f t="shared" si="65"/>
        <v>979</v>
      </c>
      <c r="BY135" s="53">
        <f t="shared" si="66"/>
        <v>0</v>
      </c>
      <c r="BZ135" s="53">
        <f t="shared" si="67"/>
        <v>0</v>
      </c>
      <c r="CA135" s="53">
        <f t="shared" si="68"/>
        <v>979</v>
      </c>
      <c r="CC135" s="126">
        <f t="shared" si="54"/>
        <v>1018.8436797140781</v>
      </c>
      <c r="CD135" s="127">
        <f t="shared" si="21"/>
        <v>9.2752207116326115</v>
      </c>
    </row>
    <row r="136" spans="2:82" x14ac:dyDescent="0.35">
      <c r="B136" s="50" t="b">
        <f t="shared" si="22"/>
        <v>1</v>
      </c>
      <c r="C136" s="21">
        <f t="shared" si="23"/>
        <v>59.666666666666629</v>
      </c>
      <c r="D136" s="13">
        <f t="shared" si="24"/>
        <v>2.1361596614942249</v>
      </c>
      <c r="E136" s="143">
        <f t="shared" si="25"/>
        <v>153.34648968130958</v>
      </c>
      <c r="F136" s="52">
        <f t="shared" si="26"/>
        <v>1.2050565739062438</v>
      </c>
      <c r="G136" s="50">
        <f t="shared" si="27"/>
        <v>86.506265803487864</v>
      </c>
      <c r="H136" s="50">
        <f t="shared" si="5"/>
        <v>239.85275548479746</v>
      </c>
      <c r="I136" s="16">
        <f t="shared" si="28"/>
        <v>7.8807969806572045</v>
      </c>
      <c r="J136" s="22">
        <f t="shared" si="29"/>
        <v>3.5715224631542142E-2</v>
      </c>
      <c r="K136" s="15">
        <f t="shared" si="59"/>
        <v>679.69212632934705</v>
      </c>
      <c r="L136" s="15">
        <f t="shared" si="6"/>
        <v>459.09633659530368</v>
      </c>
      <c r="M136" s="17">
        <f t="shared" si="30"/>
        <v>0.52244537010154624</v>
      </c>
      <c r="N136" s="15">
        <f t="shared" si="31"/>
        <v>327.73602380101073</v>
      </c>
      <c r="O136" s="17">
        <f t="shared" si="32"/>
        <v>0.71387200828376918</v>
      </c>
      <c r="P136" s="15">
        <f t="shared" si="33"/>
        <v>0</v>
      </c>
      <c r="Q136" s="7">
        <f t="shared" si="34"/>
        <v>0</v>
      </c>
      <c r="R136" s="17">
        <f t="shared" si="7"/>
        <v>0.71387200828376918</v>
      </c>
      <c r="S136" s="17">
        <f t="shared" si="35"/>
        <v>0.49510477993874319</v>
      </c>
      <c r="T136" s="162">
        <f t="shared" si="36"/>
        <v>1290.8387249347504</v>
      </c>
      <c r="U136" s="162">
        <f>ABS($L136-$L137)*IF($B136,FORECAST($L136,
INDEX($Z$119:$AJ$119,MATCH($L136,$Z$105:$AJ$105,1)):INDEX($Z$119:$AJ$119,MATCH($L136,$Z$105:$AJ$105,1)+1),
INDEX($Z$105:$AJ$105,MATCH($L136,$Z$105:$AJ$105,1)):INDEX($Z$105:$AJ$105,MATCH($L136,$Z$105:$AJ$105,1)+1)),0)</f>
        <v>0</v>
      </c>
      <c r="V136" s="162">
        <f>ABS($L136-$L137)*IF($B136,FORECAST($L136,
INDEX($Z$120:$AJ$120,MATCH($L136,$Z$105:$AJ$105,1)):INDEX($Z$120:$AJ$120,MATCH($L136,$Z$105:$AJ$105,1)+1),
INDEX($Z$105:$AJ$105,MATCH($L136,$Z$105:$AJ$105,1)):INDEX($Z$105:$AJ$105,MATCH($L136,$Z$105:$AJ$105,1)+1)),0)</f>
        <v>1695.7064667258082</v>
      </c>
      <c r="W136" s="162">
        <f>ABS($L136-$L137)*IF($B136,FORECAST($L136,
INDEX($Z$121:$AJ$121,MATCH($L136,$Z$105:$AJ$105,1)):INDEX($Z$121:$AJ$121,MATCH($L136,$Z$105:$AJ$105,1)+1),
INDEX($Z$105:$AJ$105,MATCH($L136,$Z$105:$AJ$105,1)):INDEX($Z$105:$AJ$105,MATCH($L136,$Z$105:$AJ$105,1)+1)),0)</f>
        <v>1876.8731577910296</v>
      </c>
      <c r="X136" s="162">
        <f>ABS($L136-$L137)*IF($B136,FORECAST($L136,
INDEX($Z$122:$AJ$122,MATCH($L136,$Z$105:$AJ$105,1)):INDEX($Z$122:$AJ$122,MATCH($L136,$Z$105:$AJ$105,1)+1),
INDEX($Z$105:$AJ$105,MATCH($L136,$Z$105:$AJ$105,1)):INDEX($Z$105:$AJ$105,MATCH($L136,$Z$105:$AJ$105,1)+1)),0)</f>
        <v>1513.7633643154672</v>
      </c>
      <c r="AM136" s="44">
        <f t="shared" si="38"/>
        <v>450</v>
      </c>
      <c r="AN136" s="45">
        <f t="shared" si="55"/>
        <v>979</v>
      </c>
      <c r="AO136" s="54">
        <f t="shared" si="9"/>
        <v>0.64000092160131317</v>
      </c>
      <c r="AP136" s="54">
        <f t="shared" si="10"/>
        <v>0.64000092160131317</v>
      </c>
      <c r="AQ136" s="54">
        <f t="shared" si="73"/>
        <v>1.2800018432026263</v>
      </c>
      <c r="AR136" s="46">
        <f t="shared" si="11"/>
        <v>3.9989041405912835</v>
      </c>
      <c r="AS136" s="47">
        <f t="shared" si="40"/>
        <v>2.249589477305893E-4</v>
      </c>
      <c r="AT136" s="47">
        <f t="shared" si="56"/>
        <v>1.256832271480877E-6</v>
      </c>
      <c r="AU136" s="48">
        <f t="shared" si="41"/>
        <v>153.91721671340855</v>
      </c>
      <c r="AV136" s="48">
        <f t="shared" si="12"/>
        <v>1027.668642529743</v>
      </c>
      <c r="AW136" s="140">
        <f t="shared" si="42"/>
        <v>89.673480360496313</v>
      </c>
      <c r="AX136" s="53"/>
      <c r="AZ136" s="50">
        <f t="shared" si="43"/>
        <v>239.85275548479746</v>
      </c>
      <c r="BA136" s="50">
        <f t="shared" si="44"/>
        <v>239.85275548479746</v>
      </c>
      <c r="BB136" s="50">
        <f t="shared" si="13"/>
        <v>459.09633659530368</v>
      </c>
      <c r="BD136" s="50">
        <f t="shared" si="14"/>
        <v>450</v>
      </c>
      <c r="BE136" s="50">
        <f t="shared" si="15"/>
        <v>979</v>
      </c>
      <c r="BF136" s="53">
        <f t="shared" si="16"/>
        <v>1.2800018432026263</v>
      </c>
      <c r="BG136" s="53">
        <f t="shared" si="45"/>
        <v>2.249589477305893E-4</v>
      </c>
      <c r="BH136" s="53">
        <f t="shared" si="46"/>
        <v>1027.668642529743</v>
      </c>
      <c r="BI136" s="127">
        <f t="shared" si="47"/>
        <v>89.673480360496313</v>
      </c>
      <c r="BK136" s="44">
        <f t="shared" si="48"/>
        <v>450</v>
      </c>
      <c r="BL136" s="45">
        <f t="shared" si="57"/>
        <v>979</v>
      </c>
      <c r="BM136" s="119" cm="1">
        <f t="array" ref="BM136">IF(($AG$51=0),0,
_xlfn.IFS(BK136&lt;=$BL$102,($AG$53*(1-(BK136/$BL$102))),AND(BK136&gt;$BL$102,BK136&lt;($AG$55+$BL$102)),0,BK136&gt;=($AG$55+$BL$102),($AG$53*((BK136-($AG$55+$BL$102))/$BL$102)))-$AG$54)</f>
        <v>0</v>
      </c>
      <c r="BN136" s="119" cm="1">
        <f t="array" ref="BN136">IF(($AG$51=0),0,
_xlfn.IFS(BK136&lt;=$BL$102,($BL$103*(1-(BK136/$BL$102))),AND(BK136&gt;$BL$102,BK136&lt;($AG$55+$BL$102)),0,BK136&gt;=($AG$55+$BL$102),($BL$103*((BK136-($AG$55+$BL$102))/$BL$102))))</f>
        <v>0</v>
      </c>
      <c r="BO136" s="120">
        <f t="shared" si="17"/>
        <v>0</v>
      </c>
      <c r="BP136" s="121">
        <f t="shared" si="18"/>
        <v>0</v>
      </c>
      <c r="BQ136" s="121">
        <f t="shared" si="58"/>
        <v>0</v>
      </c>
      <c r="BR136" s="48">
        <f t="shared" si="19"/>
        <v>0</v>
      </c>
      <c r="BS136" s="48">
        <f t="shared" si="20"/>
        <v>979</v>
      </c>
      <c r="BU136" s="122"/>
      <c r="BW136" s="50">
        <f t="shared" si="64"/>
        <v>450</v>
      </c>
      <c r="BX136" s="50">
        <f t="shared" si="65"/>
        <v>979</v>
      </c>
      <c r="BY136" s="53">
        <f t="shared" si="66"/>
        <v>0</v>
      </c>
      <c r="BZ136" s="53">
        <f t="shared" si="67"/>
        <v>0</v>
      </c>
      <c r="CA136" s="53">
        <f t="shared" si="68"/>
        <v>979</v>
      </c>
      <c r="CC136" s="126">
        <f t="shared" si="54"/>
        <v>1027.668642529743</v>
      </c>
      <c r="CD136" s="127">
        <f t="shared" si="21"/>
        <v>9.1955710322517668</v>
      </c>
    </row>
    <row r="137" spans="2:82" x14ac:dyDescent="0.35">
      <c r="B137" s="50" t="b">
        <f t="shared" si="22"/>
        <v>1</v>
      </c>
      <c r="C137" s="21">
        <f t="shared" si="23"/>
        <v>61.655555555555516</v>
      </c>
      <c r="D137" s="13">
        <f t="shared" si="24"/>
        <v>2.1718748861257668</v>
      </c>
      <c r="E137" s="143">
        <f t="shared" si="25"/>
        <v>155.91034500736487</v>
      </c>
      <c r="F137" s="52">
        <f t="shared" si="26"/>
        <v>1.2439293666128968</v>
      </c>
      <c r="G137" s="50">
        <f t="shared" si="27"/>
        <v>89.296790506826184</v>
      </c>
      <c r="H137" s="50">
        <f t="shared" si="5"/>
        <v>245.20713551419107</v>
      </c>
      <c r="I137" s="16">
        <f t="shared" si="28"/>
        <v>8.0125588707037885</v>
      </c>
      <c r="J137" s="22">
        <f t="shared" si="29"/>
        <v>3.6312360366981149E-2</v>
      </c>
      <c r="K137" s="15">
        <f t="shared" si="59"/>
        <v>671.81232934868979</v>
      </c>
      <c r="L137" s="15">
        <f t="shared" si="6"/>
        <v>453.77394755061789</v>
      </c>
      <c r="M137" s="17">
        <f t="shared" si="30"/>
        <v>0.54037288133831995</v>
      </c>
      <c r="N137" s="15">
        <f t="shared" si="31"/>
        <v>327.60458967205494</v>
      </c>
      <c r="O137" s="17">
        <f t="shared" si="32"/>
        <v>0.7219554834304609</v>
      </c>
      <c r="P137" s="15">
        <f t="shared" si="33"/>
        <v>0</v>
      </c>
      <c r="Q137" s="7">
        <f t="shared" si="34"/>
        <v>0</v>
      </c>
      <c r="R137" s="17">
        <f t="shared" si="7"/>
        <v>0.7219554834304609</v>
      </c>
      <c r="S137" s="17">
        <f t="shared" si="35"/>
        <v>0.50071106108886809</v>
      </c>
      <c r="T137" s="162">
        <f t="shared" si="36"/>
        <v>1341.5140688498714</v>
      </c>
      <c r="U137" s="162">
        <f>ABS($L137-$L138)*IF($B137,FORECAST($L137,
INDEX($Z$119:$AJ$119,MATCH($L137,$Z$105:$AJ$105,1)):INDEX($Z$119:$AJ$119,MATCH($L137,$Z$105:$AJ$105,1)+1),
INDEX($Z$105:$AJ$105,MATCH($L137,$Z$105:$AJ$105,1)):INDEX($Z$105:$AJ$105,MATCH($L137,$Z$105:$AJ$105,1)+1)),0)</f>
        <v>0</v>
      </c>
      <c r="V137" s="162">
        <f>ABS($L137-$L138)*IF($B137,FORECAST($L137,
INDEX($Z$120:$AJ$120,MATCH($L137,$Z$105:$AJ$105,1)):INDEX($Z$120:$AJ$120,MATCH($L137,$Z$105:$AJ$105,1)+1),
INDEX($Z$105:$AJ$105,MATCH($L137,$Z$105:$AJ$105,1)):INDEX($Z$105:$AJ$105,MATCH($L137,$Z$105:$AJ$105,1)+1)),0)</f>
        <v>1726.7678400410496</v>
      </c>
      <c r="W137" s="162">
        <f>ABS($L137-$L138)*IF($B137,FORECAST($L137,
INDEX($Z$121:$AJ$121,MATCH($L137,$Z$105:$AJ$105,1)):INDEX($Z$121:$AJ$121,MATCH($L137,$Z$105:$AJ$105,1)+1),
INDEX($Z$105:$AJ$105,MATCH($L137,$Z$105:$AJ$105,1)):INDEX($Z$105:$AJ$105,MATCH($L137,$Z$105:$AJ$105,1)+1)),0)</f>
        <v>1910.1852824246409</v>
      </c>
      <c r="X137" s="162">
        <f>ABS($L137-$L138)*IF($B137,FORECAST($L137,
INDEX($Z$122:$AJ$122,MATCH($L137,$Z$105:$AJ$105,1)):INDEX($Z$122:$AJ$122,MATCH($L137,$Z$105:$AJ$105,1)+1),
INDEX($Z$105:$AJ$105,MATCH($L137,$Z$105:$AJ$105,1)):INDEX($Z$105:$AJ$105,MATCH($L137,$Z$105:$AJ$105,1)+1)),0)</f>
        <v>1540.3734397766832</v>
      </c>
      <c r="AM137" s="44">
        <f t="shared" si="38"/>
        <v>465</v>
      </c>
      <c r="AN137" s="45">
        <f t="shared" si="55"/>
        <v>979</v>
      </c>
      <c r="AO137" s="54">
        <f t="shared" si="9"/>
        <v>0.67510087735718116</v>
      </c>
      <c r="AP137" s="54">
        <f t="shared" si="10"/>
        <v>0.67510087735718116</v>
      </c>
      <c r="AQ137" s="54">
        <f t="shared" si="73"/>
        <v>1.3502017547143623</v>
      </c>
      <c r="AR137" s="46">
        <f t="shared" si="11"/>
        <v>4.2182184472887183</v>
      </c>
      <c r="AS137" s="47">
        <f t="shared" si="40"/>
        <v>2.3729650670233893E-4</v>
      </c>
      <c r="AT137" s="47">
        <f t="shared" si="56"/>
        <v>1.2568312079959674E-6</v>
      </c>
      <c r="AU137" s="48">
        <f t="shared" si="41"/>
        <v>162.31169111419186</v>
      </c>
      <c r="AV137" s="48">
        <f t="shared" si="12"/>
        <v>1036.0631169305266</v>
      </c>
      <c r="AW137" s="140">
        <f t="shared" si="42"/>
        <v>105.4171907559155</v>
      </c>
      <c r="AX137" s="53"/>
      <c r="AZ137" s="50">
        <f t="shared" si="43"/>
        <v>245.20713551419107</v>
      </c>
      <c r="BA137" s="50">
        <f t="shared" si="44"/>
        <v>245.20713551419107</v>
      </c>
      <c r="BB137" s="50">
        <f t="shared" si="13"/>
        <v>453.77394755061789</v>
      </c>
      <c r="BD137" s="50">
        <f t="shared" si="14"/>
        <v>465</v>
      </c>
      <c r="BE137" s="50">
        <f t="shared" si="15"/>
        <v>979</v>
      </c>
      <c r="BF137" s="53">
        <f t="shared" si="16"/>
        <v>1.3502017547143623</v>
      </c>
      <c r="BG137" s="53">
        <f t="shared" si="45"/>
        <v>2.3729650670233893E-4</v>
      </c>
      <c r="BH137" s="53">
        <f t="shared" si="46"/>
        <v>1036.0631169305266</v>
      </c>
      <c r="BI137" s="127">
        <f t="shared" si="47"/>
        <v>105.4171907559155</v>
      </c>
      <c r="BK137" s="44">
        <f t="shared" si="48"/>
        <v>465</v>
      </c>
      <c r="BL137" s="45">
        <f t="shared" si="57"/>
        <v>979</v>
      </c>
      <c r="BM137" s="119" cm="1">
        <f t="array" ref="BM137">IF(($AG$51=0),0,
_xlfn.IFS(BK137&lt;=$BL$102,($AG$53*(1-(BK137/$BL$102))),AND(BK137&gt;$BL$102,BK137&lt;($AG$55+$BL$102)),0,BK137&gt;=($AG$55+$BL$102),($AG$53*((BK137-($AG$55+$BL$102))/$BL$102)))-$AG$54)</f>
        <v>0</v>
      </c>
      <c r="BN137" s="119" cm="1">
        <f t="array" ref="BN137">IF(($AG$51=0),0,
_xlfn.IFS(BK137&lt;=$BL$102,($BL$103*(1-(BK137/$BL$102))),AND(BK137&gt;$BL$102,BK137&lt;($AG$55+$BL$102)),0,BK137&gt;=($AG$55+$BL$102),($BL$103*((BK137-($AG$55+$BL$102))/$BL$102))))</f>
        <v>0</v>
      </c>
      <c r="BO137" s="120">
        <f t="shared" si="17"/>
        <v>0</v>
      </c>
      <c r="BP137" s="121">
        <f t="shared" si="18"/>
        <v>0</v>
      </c>
      <c r="BQ137" s="121">
        <f t="shared" si="58"/>
        <v>0</v>
      </c>
      <c r="BR137" s="48">
        <f t="shared" si="19"/>
        <v>0</v>
      </c>
      <c r="BS137" s="48">
        <f t="shared" si="20"/>
        <v>979</v>
      </c>
      <c r="BU137" s="122"/>
      <c r="BW137" s="50">
        <f t="shared" si="64"/>
        <v>465</v>
      </c>
      <c r="BX137" s="50">
        <f t="shared" si="65"/>
        <v>979</v>
      </c>
      <c r="BY137" s="53">
        <f t="shared" si="66"/>
        <v>0</v>
      </c>
      <c r="BZ137" s="53">
        <f t="shared" si="67"/>
        <v>0</v>
      </c>
      <c r="CA137" s="53">
        <f t="shared" si="68"/>
        <v>979</v>
      </c>
      <c r="CC137" s="126">
        <f t="shared" si="54"/>
        <v>1036.0631169305266</v>
      </c>
      <c r="CD137" s="127">
        <f t="shared" si="21"/>
        <v>9.1210659327366752</v>
      </c>
    </row>
    <row r="138" spans="2:82" x14ac:dyDescent="0.35">
      <c r="B138" s="50" t="b">
        <f t="shared" si="22"/>
        <v>1</v>
      </c>
      <c r="C138" s="21">
        <f t="shared" si="23"/>
        <v>63.644444444444403</v>
      </c>
      <c r="D138" s="13">
        <f t="shared" si="24"/>
        <v>2.2081872464927481</v>
      </c>
      <c r="E138" s="143">
        <f t="shared" si="25"/>
        <v>158.51706635628514</v>
      </c>
      <c r="F138" s="52">
        <f t="shared" si="26"/>
        <v>1.2828021593195498</v>
      </c>
      <c r="G138" s="50">
        <f t="shared" si="27"/>
        <v>92.087315210164505</v>
      </c>
      <c r="H138" s="50">
        <f t="shared" ref="H138:H169" si="74">E138+G138</f>
        <v>250.60438156644966</v>
      </c>
      <c r="I138" s="16">
        <f t="shared" si="28"/>
        <v>8.1465237353621127</v>
      </c>
      <c r="J138" s="22">
        <f t="shared" si="29"/>
        <v>3.6919479830374205E-2</v>
      </c>
      <c r="K138" s="15">
        <f t="shared" si="59"/>
        <v>663.80077047798602</v>
      </c>
      <c r="L138" s="15">
        <f t="shared" ref="L138:L169" si="75">(2*K138)/($AG$18*$D$77)</f>
        <v>448.3625602688187</v>
      </c>
      <c r="M138" s="17">
        <f t="shared" si="30"/>
        <v>0.55893244390476793</v>
      </c>
      <c r="N138" s="15">
        <f t="shared" si="31"/>
        <v>327.38383083851807</v>
      </c>
      <c r="O138" s="17">
        <f t="shared" si="32"/>
        <v>0.73017655765511058</v>
      </c>
      <c r="P138" s="15">
        <f t="shared" si="33"/>
        <v>0</v>
      </c>
      <c r="Q138" s="7">
        <f t="shared" si="34"/>
        <v>0</v>
      </c>
      <c r="R138" s="17">
        <f t="shared" ref="R138:R169" si="76">IF($L138&gt;E$97,E$98,(E$94*$L138^2)+(E$95*$L138)+(E$96))/$L138</f>
        <v>0.73017655765511058</v>
      </c>
      <c r="S138" s="17">
        <f t="shared" si="35"/>
        <v>0.50641277385757677</v>
      </c>
      <c r="T138" s="162">
        <f t="shared" si="36"/>
        <v>1393.7609849163821</v>
      </c>
      <c r="U138" s="162">
        <f>ABS($L138-$L139)*IF($B138,FORECAST($L138,
INDEX($Z$119:$AJ$119,MATCH($L138,$Z$105:$AJ$105,1)):INDEX($Z$119:$AJ$119,MATCH($L138,$Z$105:$AJ$105,1)+1),
INDEX($Z$105:$AJ$105,MATCH($L138,$Z$105:$AJ$105,1)):INDEX($Z$105:$AJ$105,MATCH($L138,$Z$105:$AJ$105,1)+1)),0)</f>
        <v>0</v>
      </c>
      <c r="V138" s="162">
        <f>ABS($L138-$L139)*IF($B138,FORECAST($L138,
INDEX($Z$120:$AJ$120,MATCH($L138,$Z$105:$AJ$105,1)):INDEX($Z$120:$AJ$120,MATCH($L138,$Z$105:$AJ$105,1)+1),
INDEX($Z$105:$AJ$105,MATCH($L138,$Z$105:$AJ$105,1)):INDEX($Z$105:$AJ$105,MATCH($L138,$Z$105:$AJ$105,1)+1)),0)</f>
        <v>1758.4398203173071</v>
      </c>
      <c r="W138" s="162">
        <f>ABS($L138-$L139)*IF($B138,FORECAST($L138,
INDEX($Z$121:$AJ$121,MATCH($L138,$Z$105:$AJ$105,1)):INDEX($Z$121:$AJ$121,MATCH($L138,$Z$105:$AJ$105,1)+1),
INDEX($Z$105:$AJ$105,MATCH($L138,$Z$105:$AJ$105,1)):INDEX($Z$105:$AJ$105,MATCH($L138,$Z$105:$AJ$105,1)+1)),0)</f>
        <v>1944.1193863272506</v>
      </c>
      <c r="X138" s="162">
        <f>ABS($L138-$L139)*IF($B138,FORECAST($L138,
INDEX($Z$122:$AJ$122,MATCH($L138,$Z$105:$AJ$105,1)):INDEX($Z$122:$AJ$122,MATCH($L138,$Z$105:$AJ$105,1)+1),
INDEX($Z$105:$AJ$105,MATCH($L138,$Z$105:$AJ$105,1)):INDEX($Z$105:$AJ$105,MATCH($L138,$Z$105:$AJ$105,1)+1)),0)</f>
        <v>1567.4721833903036</v>
      </c>
      <c r="AM138" s="44">
        <f t="shared" si="38"/>
        <v>480</v>
      </c>
      <c r="AN138" s="45">
        <f t="shared" si="55"/>
        <v>979</v>
      </c>
      <c r="AO138" s="54">
        <f t="shared" ref="AO138:AO169" si="77">IF(($AG$42=0),0,
IF($AG$42&gt;0,IF(AND((AM138&gt;($F$84-($AG$43/2))),(AM138&lt;($F$84+($AG$43/2)))),(SQRT(($D$84^2)-((AM138-$F$84)^2))+$G$84),0),
IF(AND((AM138&gt;($F$84-($AG$43/2))),(AM138&lt;($F$84+($AG$43/2)))),($G$84-SQRT(($D$84^2)-((AM138-$F$84)^2))),0)))</f>
        <v>0.70840082627546508</v>
      </c>
      <c r="AP138" s="54">
        <f t="shared" ref="AP138:AP169" si="78">IF(($AG$45=0),0,
IF($AG$45&gt;0,IF(AND((AM138&gt;($F$85-($AG$46/2))),(AM138&lt;($F$85+($AG$46/2)))),(SQRT(($D$85^2)-((AM138-$F$85)^2))+$G$85),0),
IF(AND((AM138&gt;($F$85-($AG$46/2))),(AM138&lt;($F$85+($AG$46/2)))),($G$85-SQRT(($D$85^2)-((AM138-$F$85)^2))),0)))</f>
        <v>0.70840082627546508</v>
      </c>
      <c r="AQ138" s="54">
        <f t="shared" si="73"/>
        <v>1.4168016525509302</v>
      </c>
      <c r="AR138" s="46">
        <f t="shared" ref="AR138:AR169" si="79">(2*AQ138)*RADIANS($AG$22/2)</f>
        <v>4.4262858095631703</v>
      </c>
      <c r="AS138" s="47">
        <f t="shared" si="40"/>
        <v>2.4900136714128384E-4</v>
      </c>
      <c r="AT138" s="47">
        <f t="shared" si="56"/>
        <v>1.2568302037815606E-6</v>
      </c>
      <c r="AU138" s="48">
        <f t="shared" si="41"/>
        <v>170.2756774735825</v>
      </c>
      <c r="AV138" s="48">
        <f t="shared" ref="AV138:AV169" si="80">AN138+AU138-$AU$104</f>
        <v>1044.0271032899172</v>
      </c>
      <c r="AW138" s="140">
        <f t="shared" si="42"/>
        <v>120.35352730283742</v>
      </c>
      <c r="AX138" s="53"/>
      <c r="AZ138" s="50">
        <f t="shared" si="43"/>
        <v>250.60438156644966</v>
      </c>
      <c r="BA138" s="50">
        <f t="shared" si="44"/>
        <v>250.60438156644966</v>
      </c>
      <c r="BB138" s="50">
        <f t="shared" ref="BB138:BB169" si="81">L138/$G$70</f>
        <v>448.3625602688187</v>
      </c>
      <c r="BD138" s="50">
        <f t="shared" ref="BD138:BD169" si="82">AM138/$G$72</f>
        <v>480</v>
      </c>
      <c r="BE138" s="50">
        <f t="shared" ref="BE138:BE169" si="83">AN138/$G$71</f>
        <v>979</v>
      </c>
      <c r="BF138" s="53">
        <f t="shared" ref="BF138:BF169" si="84">AQ138/$G$72</f>
        <v>1.4168016525509302</v>
      </c>
      <c r="BG138" s="53">
        <f t="shared" si="45"/>
        <v>2.4900136714128384E-4</v>
      </c>
      <c r="BH138" s="53">
        <f t="shared" si="46"/>
        <v>1044.0271032899172</v>
      </c>
      <c r="BI138" s="127">
        <f t="shared" si="47"/>
        <v>120.35352730283742</v>
      </c>
      <c r="BK138" s="44">
        <f t="shared" si="48"/>
        <v>480</v>
      </c>
      <c r="BL138" s="45">
        <f t="shared" si="57"/>
        <v>979</v>
      </c>
      <c r="BM138" s="119" cm="1">
        <f t="array" ref="BM138">IF(($AG$51=0),0,
_xlfn.IFS(BK138&lt;=$BL$102,($AG$53*(1-(BK138/$BL$102))),AND(BK138&gt;$BL$102,BK138&lt;($AG$55+$BL$102)),0,BK138&gt;=($AG$55+$BL$102),($AG$53*((BK138-($AG$55+$BL$102))/$BL$102)))-$AG$54)</f>
        <v>0</v>
      </c>
      <c r="BN138" s="119" cm="1">
        <f t="array" ref="BN138">IF(($AG$51=0),0,
_xlfn.IFS(BK138&lt;=$BL$102,($BL$103*(1-(BK138/$BL$102))),AND(BK138&gt;$BL$102,BK138&lt;($AG$55+$BL$102)),0,BK138&gt;=($AG$55+$BL$102),($BL$103*((BK138-($AG$55+$BL$102))/$BL$102))))</f>
        <v>0</v>
      </c>
      <c r="BO138" s="120">
        <f t="shared" ref="BO138:BO169" si="85">SQRT((BM138^2+BN138^2)+$AG$51^2)-$AG$51</f>
        <v>0</v>
      </c>
      <c r="BP138" s="121">
        <f t="shared" ref="BP138:BP169" si="86">IF($AG$51=0,0,(BO138/$AG$51))</f>
        <v>0</v>
      </c>
      <c r="BQ138" s="121">
        <f t="shared" si="58"/>
        <v>0</v>
      </c>
      <c r="BR138" s="48">
        <f t="shared" ref="BR138:BR169" si="87">(BP138+BQ138)*$AG$16*$AG$18</f>
        <v>0</v>
      </c>
      <c r="BS138" s="48">
        <f t="shared" ref="BS138:BS169" si="88">BL138+BR138-$BQ$104</f>
        <v>979</v>
      </c>
      <c r="BU138" s="122"/>
      <c r="BW138" s="50">
        <f t="shared" si="64"/>
        <v>480</v>
      </c>
      <c r="BX138" s="50">
        <f t="shared" si="65"/>
        <v>979</v>
      </c>
      <c r="BY138" s="53">
        <f t="shared" si="66"/>
        <v>0</v>
      </c>
      <c r="BZ138" s="53">
        <f t="shared" si="67"/>
        <v>0</v>
      </c>
      <c r="CA138" s="53">
        <f t="shared" si="68"/>
        <v>979</v>
      </c>
      <c r="CC138" s="126">
        <f t="shared" si="54"/>
        <v>1044.0271032899172</v>
      </c>
      <c r="CD138" s="127">
        <f t="shared" ref="CD138:CD169" si="89">($AG$15*$AG$18)/(CC138)</f>
        <v>9.0514891521698519</v>
      </c>
    </row>
    <row r="139" spans="2:82" x14ac:dyDescent="0.35">
      <c r="B139" s="50" t="b">
        <f t="shared" si="22"/>
        <v>1</v>
      </c>
      <c r="C139" s="21">
        <f t="shared" ref="C139:C170" si="90">($AG$22/90)+C138</f>
        <v>65.633333333333297</v>
      </c>
      <c r="D139" s="13">
        <f t="shared" ref="D139:D170" si="91">D138+J138</f>
        <v>2.2451067263231224</v>
      </c>
      <c r="E139" s="143">
        <f t="shared" si="25"/>
        <v>161.16737042058324</v>
      </c>
      <c r="F139" s="52">
        <f t="shared" ref="F139:F170" si="92">($D$88/90)+F138</f>
        <v>1.3216749520262028</v>
      </c>
      <c r="G139" s="50">
        <f t="shared" si="27"/>
        <v>94.877839913502825</v>
      </c>
      <c r="H139" s="50">
        <f t="shared" si="74"/>
        <v>256.04521033408605</v>
      </c>
      <c r="I139" s="16">
        <f t="shared" si="28"/>
        <v>8.2827284069600804</v>
      </c>
      <c r="J139" s="22">
        <f t="shared" si="29"/>
        <v>3.7536749943273516E-2</v>
      </c>
      <c r="K139" s="15">
        <f t="shared" si="59"/>
        <v>655.65524674262383</v>
      </c>
      <c r="L139" s="15">
        <f t="shared" si="75"/>
        <v>442.86068675624711</v>
      </c>
      <c r="M139" s="17">
        <f t="shared" si="30"/>
        <v>0.57816197732406693</v>
      </c>
      <c r="N139" s="15">
        <f t="shared" si="31"/>
        <v>327.06931552688621</v>
      </c>
      <c r="O139" s="17">
        <f t="shared" si="32"/>
        <v>0.73853770566658339</v>
      </c>
      <c r="P139" s="15">
        <f t="shared" si="33"/>
        <v>0</v>
      </c>
      <c r="Q139" s="7">
        <f t="shared" si="34"/>
        <v>0</v>
      </c>
      <c r="R139" s="17">
        <f t="shared" si="76"/>
        <v>0.73853770566658339</v>
      </c>
      <c r="S139" s="17">
        <f t="shared" si="35"/>
        <v>0.51221163457521113</v>
      </c>
      <c r="T139" s="162">
        <f t="shared" si="36"/>
        <v>1447.62587802898</v>
      </c>
      <c r="U139" s="162">
        <f>ABS($L139-$L140)*IF($B139,FORECAST($L139,
INDEX($Z$119:$AJ$119,MATCH($L139,$Z$105:$AJ$105,1)):INDEX($Z$119:$AJ$119,MATCH($L139,$Z$105:$AJ$105,1)+1),
INDEX($Z$105:$AJ$105,MATCH($L139,$Z$105:$AJ$105,1)):INDEX($Z$105:$AJ$105,MATCH($L139,$Z$105:$AJ$105,1)+1)),0)</f>
        <v>0</v>
      </c>
      <c r="V139" s="162">
        <f>ABS($L139-$L140)*IF($B139,FORECAST($L139,
INDEX($Z$120:$AJ$120,MATCH($L139,$Z$105:$AJ$105,1)):INDEX($Z$120:$AJ$120,MATCH($L139,$Z$105:$AJ$105,1)+1),
INDEX($Z$105:$AJ$105,MATCH($L139,$Z$105:$AJ$105,1)):INDEX($Z$105:$AJ$105,MATCH($L139,$Z$105:$AJ$105,1)+1)),0)</f>
        <v>1790.7356944347935</v>
      </c>
      <c r="W139" s="162">
        <f>ABS($L139-$L140)*IF($B139,FORECAST($L139,
INDEX($Z$121:$AJ$121,MATCH($L139,$Z$105:$AJ$105,1)):INDEX($Z$121:$AJ$121,MATCH($L139,$Z$105:$AJ$105,1)+1),
INDEX($Z$105:$AJ$105,MATCH($L139,$Z$105:$AJ$105,1)):INDEX($Z$105:$AJ$105,MATCH($L139,$Z$105:$AJ$105,1)+1)),0)</f>
        <v>1978.6880610871228</v>
      </c>
      <c r="X139" s="162">
        <f>ABS($L139-$L140)*IF($B139,FORECAST($L139,
INDEX($Z$122:$AJ$122,MATCH($L139,$Z$105:$AJ$105,1)):INDEX($Z$122:$AJ$122,MATCH($L139,$Z$105:$AJ$105,1)+1),
INDEX($Z$105:$AJ$105,MATCH($L139,$Z$105:$AJ$105,1)):INDEX($Z$105:$AJ$105,MATCH($L139,$Z$105:$AJ$105,1)+1)),0)</f>
        <v>1595.0692410915501</v>
      </c>
      <c r="AM139" s="44">
        <f t="shared" ref="AM139:AM170" si="93">AM138+(($AG$18*1000)/100)</f>
        <v>495</v>
      </c>
      <c r="AN139" s="45">
        <f t="shared" si="55"/>
        <v>979</v>
      </c>
      <c r="AO139" s="54">
        <f t="shared" si="77"/>
        <v>0.73990076979680452</v>
      </c>
      <c r="AP139" s="54">
        <f t="shared" si="78"/>
        <v>0.73990076979680452</v>
      </c>
      <c r="AQ139" s="54">
        <f t="shared" si="73"/>
        <v>1.479801539593609</v>
      </c>
      <c r="AR139" s="46">
        <f t="shared" si="79"/>
        <v>4.6231062364161577</v>
      </c>
      <c r="AS139" s="47">
        <f t="shared" si="40"/>
        <v>2.600735295538059E-4</v>
      </c>
      <c r="AT139" s="47">
        <f t="shared" si="56"/>
        <v>1.256829260531466E-6</v>
      </c>
      <c r="AU139" s="48">
        <f t="shared" si="41"/>
        <v>177.80917613727516</v>
      </c>
      <c r="AV139" s="48">
        <f t="shared" si="80"/>
        <v>1051.5606019536099</v>
      </c>
      <c r="AW139" s="140">
        <f t="shared" si="42"/>
        <v>134.48249064744564</v>
      </c>
      <c r="AX139" s="53"/>
      <c r="AZ139" s="50">
        <f t="shared" si="43"/>
        <v>256.04521033408605</v>
      </c>
      <c r="BA139" s="50">
        <f t="shared" si="44"/>
        <v>256.04521033408605</v>
      </c>
      <c r="BB139" s="50">
        <f t="shared" si="81"/>
        <v>442.86068675624711</v>
      </c>
      <c r="BD139" s="50">
        <f t="shared" si="82"/>
        <v>495</v>
      </c>
      <c r="BE139" s="50">
        <f t="shared" si="83"/>
        <v>979</v>
      </c>
      <c r="BF139" s="53">
        <f t="shared" si="84"/>
        <v>1.479801539593609</v>
      </c>
      <c r="BG139" s="53">
        <f t="shared" si="45"/>
        <v>2.600735295538059E-4</v>
      </c>
      <c r="BH139" s="53">
        <f t="shared" si="46"/>
        <v>1051.5606019536099</v>
      </c>
      <c r="BI139" s="127">
        <f t="shared" si="47"/>
        <v>134.48249064744564</v>
      </c>
      <c r="BK139" s="44">
        <f t="shared" ref="BK139:BK170" si="94">BK138+(($AG$18*1000)/100)</f>
        <v>495</v>
      </c>
      <c r="BL139" s="45">
        <f t="shared" si="57"/>
        <v>979</v>
      </c>
      <c r="BM139" s="119" cm="1">
        <f t="array" ref="BM139">IF(($AG$51=0),0,
_xlfn.IFS(BK139&lt;=$BL$102,($AG$53*(1-(BK139/$BL$102))),AND(BK139&gt;$BL$102,BK139&lt;($AG$55+$BL$102)),0,BK139&gt;=($AG$55+$BL$102),($AG$53*((BK139-($AG$55+$BL$102))/$BL$102)))-$AG$54)</f>
        <v>0</v>
      </c>
      <c r="BN139" s="119" cm="1">
        <f t="array" ref="BN139">IF(($AG$51=0),0,
_xlfn.IFS(BK139&lt;=$BL$102,($BL$103*(1-(BK139/$BL$102))),AND(BK139&gt;$BL$102,BK139&lt;($AG$55+$BL$102)),0,BK139&gt;=($AG$55+$BL$102),($BL$103*((BK139-($AG$55+$BL$102))/$BL$102))))</f>
        <v>0</v>
      </c>
      <c r="BO139" s="120">
        <f t="shared" si="85"/>
        <v>0</v>
      </c>
      <c r="BP139" s="121">
        <f t="shared" si="86"/>
        <v>0</v>
      </c>
      <c r="BQ139" s="121">
        <f t="shared" si="58"/>
        <v>0</v>
      </c>
      <c r="BR139" s="48">
        <f t="shared" si="87"/>
        <v>0</v>
      </c>
      <c r="BS139" s="48">
        <f t="shared" si="88"/>
        <v>979</v>
      </c>
      <c r="BU139" s="122"/>
      <c r="BW139" s="50">
        <f t="shared" si="64"/>
        <v>495</v>
      </c>
      <c r="BX139" s="50">
        <f t="shared" si="65"/>
        <v>979</v>
      </c>
      <c r="BY139" s="53">
        <f t="shared" si="66"/>
        <v>0</v>
      </c>
      <c r="BZ139" s="53">
        <f t="shared" si="67"/>
        <v>0</v>
      </c>
      <c r="CA139" s="53">
        <f t="shared" si="68"/>
        <v>979</v>
      </c>
      <c r="CC139" s="126">
        <f t="shared" si="54"/>
        <v>1051.5606019536099</v>
      </c>
      <c r="CD139" s="127">
        <f t="shared" si="89"/>
        <v>8.9866432637772888</v>
      </c>
    </row>
    <row r="140" spans="2:82" x14ac:dyDescent="0.35">
      <c r="B140" s="50" t="b">
        <f t="shared" si="22"/>
        <v>1</v>
      </c>
      <c r="C140" s="21">
        <f t="shared" si="90"/>
        <v>67.622222222222192</v>
      </c>
      <c r="D140" s="13">
        <f t="shared" si="91"/>
        <v>2.2826434762663959</v>
      </c>
      <c r="E140" s="143">
        <f t="shared" si="25"/>
        <v>163.86198587541293</v>
      </c>
      <c r="F140" s="52">
        <f t="shared" si="92"/>
        <v>1.3605477447328558</v>
      </c>
      <c r="G140" s="50">
        <f t="shared" si="27"/>
        <v>97.668364616841131</v>
      </c>
      <c r="H140" s="50">
        <f t="shared" si="74"/>
        <v>261.53035049225406</v>
      </c>
      <c r="I140" s="16">
        <f t="shared" si="28"/>
        <v>8.4212103336385908</v>
      </c>
      <c r="J140" s="22">
        <f t="shared" si="29"/>
        <v>3.8164340418053048E-2</v>
      </c>
      <c r="K140" s="15">
        <f t="shared" si="59"/>
        <v>647.37351833566368</v>
      </c>
      <c r="L140" s="15">
        <f t="shared" si="75"/>
        <v>437.26681414094139</v>
      </c>
      <c r="M140" s="17">
        <f t="shared" si="30"/>
        <v>0.59810244462767914</v>
      </c>
      <c r="N140" s="15">
        <f t="shared" si="31"/>
        <v>326.65643878901938</v>
      </c>
      <c r="O140" s="17">
        <f t="shared" si="32"/>
        <v>0.7470414589562937</v>
      </c>
      <c r="P140" s="15">
        <f t="shared" si="33"/>
        <v>0</v>
      </c>
      <c r="Q140" s="7">
        <f t="shared" si="34"/>
        <v>0</v>
      </c>
      <c r="R140" s="17">
        <f t="shared" si="76"/>
        <v>0.7470414589562937</v>
      </c>
      <c r="S140" s="17">
        <f t="shared" si="35"/>
        <v>0.51810939895355856</v>
      </c>
      <c r="T140" s="162">
        <f t="shared" si="36"/>
        <v>1503.1565359003851</v>
      </c>
      <c r="U140" s="162">
        <f>ABS($L140-$L141)*IF($B140,FORECAST($L140,
INDEX($Z$119:$AJ$119,MATCH($L140,$Z$105:$AJ$105,1)):INDEX($Z$119:$AJ$119,MATCH($L140,$Z$105:$AJ$105,1)+1),
INDEX($Z$105:$AJ$105,MATCH($L140,$Z$105:$AJ$105,1)):INDEX($Z$105:$AJ$105,MATCH($L140,$Z$105:$AJ$105,1)+1)),0)</f>
        <v>0</v>
      </c>
      <c r="V140" s="162">
        <f>ABS($L140-$L141)*IF($B140,FORECAST($L140,
INDEX($Z$120:$AJ$120,MATCH($L140,$Z$105:$AJ$105,1)):INDEX($Z$120:$AJ$120,MATCH($L140,$Z$105:$AJ$105,1)+1),
INDEX($Z$105:$AJ$105,MATCH($L140,$Z$105:$AJ$105,1)):INDEX($Z$105:$AJ$105,MATCH($L140,$Z$105:$AJ$105,1)+1)),0)</f>
        <v>1823.6690752059146</v>
      </c>
      <c r="W140" s="162">
        <f>ABS($L140-$L141)*IF($B140,FORECAST($L140,
INDEX($Z$121:$AJ$121,MATCH($L140,$Z$105:$AJ$105,1)):INDEX($Z$121:$AJ$121,MATCH($L140,$Z$105:$AJ$105,1)+1),
INDEX($Z$105:$AJ$105,MATCH($L140,$Z$105:$AJ$105,1)):INDEX($Z$105:$AJ$105,MATCH($L140,$Z$105:$AJ$105,1)+1)),0)</f>
        <v>2013.9041827442875</v>
      </c>
      <c r="X140" s="162">
        <f>ABS($L140-$L141)*IF($B140,FORECAST($L140,
INDEX($Z$122:$AJ$122,MATCH($L140,$Z$105:$AJ$105,1)):INDEX($Z$122:$AJ$122,MATCH($L140,$Z$105:$AJ$105,1)+1),
INDEX($Z$105:$AJ$105,MATCH($L140,$Z$105:$AJ$105,1)):INDEX($Z$105:$AJ$105,MATCH($L140,$Z$105:$AJ$105,1)+1)),0)</f>
        <v>1623.17446984909</v>
      </c>
      <c r="AM140" s="44">
        <f t="shared" si="93"/>
        <v>510</v>
      </c>
      <c r="AN140" s="45">
        <f t="shared" si="55"/>
        <v>979</v>
      </c>
      <c r="AO140" s="54">
        <f t="shared" si="77"/>
        <v>0.7696007092599757</v>
      </c>
      <c r="AP140" s="54">
        <f t="shared" si="78"/>
        <v>0.7696007092599757</v>
      </c>
      <c r="AQ140" s="54">
        <f t="shared" si="73"/>
        <v>1.5392014185199514</v>
      </c>
      <c r="AR140" s="46">
        <f t="shared" si="79"/>
        <v>4.8086797362127278</v>
      </c>
      <c r="AS140" s="47">
        <f t="shared" si="40"/>
        <v>2.7051299441048195E-4</v>
      </c>
      <c r="AT140" s="47">
        <f t="shared" ref="AT140:AT171" si="95">((AS140-AS139)*$D$90)+((AS140-AS138)*0.5*$D$90)-((AS141-AS140)*$D$90)-((AS142-AS140)*0.5*$D$90)</f>
        <v>1.2568283562305492E-6</v>
      </c>
      <c r="AU140" s="48">
        <f t="shared" si="41"/>
        <v>184.91218741047118</v>
      </c>
      <c r="AV140" s="48">
        <f t="shared" si="80"/>
        <v>1058.6636132268059</v>
      </c>
      <c r="AW140" s="140">
        <f t="shared" si="42"/>
        <v>147.80408139023393</v>
      </c>
      <c r="AX140" s="53"/>
      <c r="AZ140" s="50">
        <f t="shared" si="43"/>
        <v>261.53035049225406</v>
      </c>
      <c r="BA140" s="50">
        <f t="shared" si="44"/>
        <v>261.53035049225406</v>
      </c>
      <c r="BB140" s="50">
        <f t="shared" si="81"/>
        <v>437.26681414094139</v>
      </c>
      <c r="BD140" s="50">
        <f t="shared" si="82"/>
        <v>510</v>
      </c>
      <c r="BE140" s="50">
        <f t="shared" si="83"/>
        <v>979</v>
      </c>
      <c r="BF140" s="53">
        <f t="shared" si="84"/>
        <v>1.5392014185199514</v>
      </c>
      <c r="BG140" s="53">
        <f t="shared" si="45"/>
        <v>2.7051299441048195E-4</v>
      </c>
      <c r="BH140" s="53">
        <f t="shared" si="46"/>
        <v>1058.6636132268059</v>
      </c>
      <c r="BI140" s="127">
        <f t="shared" si="47"/>
        <v>147.80408139023393</v>
      </c>
      <c r="BK140" s="44">
        <f t="shared" si="94"/>
        <v>510</v>
      </c>
      <c r="BL140" s="45">
        <f t="shared" si="57"/>
        <v>979</v>
      </c>
      <c r="BM140" s="119" cm="1">
        <f t="array" ref="BM140">IF(($AG$51=0),0,
_xlfn.IFS(BK140&lt;=$BL$102,($AG$53*(1-(BK140/$BL$102))),AND(BK140&gt;$BL$102,BK140&lt;($AG$55+$BL$102)),0,BK140&gt;=($AG$55+$BL$102),($AG$53*((BK140-($AG$55+$BL$102))/$BL$102)))-$AG$54)</f>
        <v>0</v>
      </c>
      <c r="BN140" s="119" cm="1">
        <f t="array" ref="BN140">IF(($AG$51=0),0,
_xlfn.IFS(BK140&lt;=$BL$102,($BL$103*(1-(BK140/$BL$102))),AND(BK140&gt;$BL$102,BK140&lt;($AG$55+$BL$102)),0,BK140&gt;=($AG$55+$BL$102),($BL$103*((BK140-($AG$55+$BL$102))/$BL$102))))</f>
        <v>0</v>
      </c>
      <c r="BO140" s="120">
        <f t="shared" si="85"/>
        <v>0</v>
      </c>
      <c r="BP140" s="121">
        <f t="shared" si="86"/>
        <v>0</v>
      </c>
      <c r="BQ140" s="121">
        <f t="shared" si="58"/>
        <v>0</v>
      </c>
      <c r="BR140" s="48">
        <f t="shared" si="87"/>
        <v>0</v>
      </c>
      <c r="BS140" s="48">
        <f t="shared" si="88"/>
        <v>979</v>
      </c>
      <c r="BU140" s="122"/>
      <c r="BW140" s="50">
        <f t="shared" si="64"/>
        <v>510</v>
      </c>
      <c r="BX140" s="50">
        <f t="shared" si="65"/>
        <v>979</v>
      </c>
      <c r="BY140" s="53">
        <f t="shared" si="66"/>
        <v>0</v>
      </c>
      <c r="BZ140" s="53">
        <f t="shared" si="67"/>
        <v>0</v>
      </c>
      <c r="CA140" s="53">
        <f t="shared" si="68"/>
        <v>979</v>
      </c>
      <c r="CC140" s="126">
        <f t="shared" si="54"/>
        <v>1058.6636132268059</v>
      </c>
      <c r="CD140" s="127">
        <f t="shared" si="89"/>
        <v>8.9263481637915252</v>
      </c>
    </row>
    <row r="141" spans="2:82" x14ac:dyDescent="0.35">
      <c r="B141" s="50" t="b">
        <f t="shared" si="22"/>
        <v>1</v>
      </c>
      <c r="C141" s="21">
        <f t="shared" si="90"/>
        <v>69.611111111111086</v>
      </c>
      <c r="D141" s="13">
        <f t="shared" si="91"/>
        <v>2.3208078166844488</v>
      </c>
      <c r="E141" s="143">
        <f t="shared" si="25"/>
        <v>166.60165357891091</v>
      </c>
      <c r="F141" s="52">
        <f t="shared" si="92"/>
        <v>1.3994205374395088</v>
      </c>
      <c r="G141" s="50">
        <f t="shared" si="27"/>
        <v>100.45888932017945</v>
      </c>
      <c r="H141" s="50">
        <f t="shared" si="74"/>
        <v>267.06054289909036</v>
      </c>
      <c r="I141" s="16">
        <f t="shared" si="28"/>
        <v>8.5620075896475267</v>
      </c>
      <c r="J141" s="22">
        <f t="shared" si="29"/>
        <v>3.8802423804569185E-2</v>
      </c>
      <c r="K141" s="15">
        <f t="shared" si="59"/>
        <v>638.9533080020251</v>
      </c>
      <c r="L141" s="15">
        <f t="shared" si="75"/>
        <v>431.57940425668704</v>
      </c>
      <c r="M141" s="17">
        <f t="shared" si="30"/>
        <v>0.61879816382584585</v>
      </c>
      <c r="N141" s="15">
        <f t="shared" si="31"/>
        <v>326.14041626598635</v>
      </c>
      <c r="O141" s="17">
        <f t="shared" si="32"/>
        <v>0.75569040841441637</v>
      </c>
      <c r="P141" s="15">
        <f t="shared" si="33"/>
        <v>0</v>
      </c>
      <c r="Q141" s="7">
        <f t="shared" si="34"/>
        <v>0</v>
      </c>
      <c r="R141" s="17">
        <f t="shared" si="76"/>
        <v>0.75569040841441637</v>
      </c>
      <c r="S141" s="17">
        <f t="shared" si="35"/>
        <v>0.52410786390032105</v>
      </c>
      <c r="T141" s="162">
        <f t="shared" si="36"/>
        <v>1560.4021714466546</v>
      </c>
      <c r="U141" s="162">
        <f>ABS($L141-$L142)*IF($B141,FORECAST($L141,
INDEX($Z$119:$AJ$119,MATCH($L141,$Z$105:$AJ$105,1)):INDEX($Z$119:$AJ$119,MATCH($L141,$Z$105:$AJ$105,1)+1),
INDEX($Z$105:$AJ$105,MATCH($L141,$Z$105:$AJ$105,1)):INDEX($Z$105:$AJ$105,MATCH($L141,$Z$105:$AJ$105,1)+1)),0)</f>
        <v>0</v>
      </c>
      <c r="V141" s="162">
        <f>ABS($L141-$L142)*IF($B141,FORECAST($L141,
INDEX($Z$120:$AJ$120,MATCH($L141,$Z$105:$AJ$105,1)):INDEX($Z$120:$AJ$120,MATCH($L141,$Z$105:$AJ$105,1)+1),
INDEX($Z$105:$AJ$105,MATCH($L141,$Z$105:$AJ$105,1)):INDEX($Z$105:$AJ$105,MATCH($L141,$Z$105:$AJ$105,1)+1)),0)</f>
        <v>1857.2539103238041</v>
      </c>
      <c r="W141" s="162">
        <f>ABS($L141-$L142)*IF($B141,FORECAST($L141,
INDEX($Z$121:$AJ$121,MATCH($L141,$Z$105:$AJ$105,1)):INDEX($Z$121:$AJ$121,MATCH($L141,$Z$105:$AJ$105,1)+1),
INDEX($Z$105:$AJ$105,MATCH($L141,$Z$105:$AJ$105,1)):INDEX($Z$105:$AJ$105,MATCH($L141,$Z$105:$AJ$105,1)+1)),0)</f>
        <v>2049.7809190388307</v>
      </c>
      <c r="X141" s="162">
        <f>ABS($L141-$L142)*IF($B141,FORECAST($L141,
INDEX($Z$122:$AJ$122,MATCH($L141,$Z$105:$AJ$105,1)):INDEX($Z$122:$AJ$122,MATCH($L141,$Z$105:$AJ$105,1)+1),
INDEX($Z$105:$AJ$105,MATCH($L141,$Z$105:$AJ$105,1)):INDEX($Z$105:$AJ$105,MATCH($L141,$Z$105:$AJ$105,1)+1)),0)</f>
        <v>1651.7979428709421</v>
      </c>
      <c r="AM141" s="44">
        <f t="shared" si="93"/>
        <v>525</v>
      </c>
      <c r="AN141" s="45">
        <f t="shared" si="55"/>
        <v>979</v>
      </c>
      <c r="AO141" s="54">
        <f t="shared" si="77"/>
        <v>0.79750064597465098</v>
      </c>
      <c r="AP141" s="54">
        <f t="shared" si="78"/>
        <v>0.79750064597465098</v>
      </c>
      <c r="AQ141" s="54">
        <f t="shared" si="73"/>
        <v>1.595001291949302</v>
      </c>
      <c r="AR141" s="46">
        <f t="shared" si="79"/>
        <v>4.9830063171360779</v>
      </c>
      <c r="AS141" s="47">
        <f t="shared" si="40"/>
        <v>2.8031976217165908E-4</v>
      </c>
      <c r="AT141" s="47">
        <f t="shared" si="95"/>
        <v>1.2568275179741804E-6</v>
      </c>
      <c r="AU141" s="48">
        <f t="shared" si="41"/>
        <v>191.58471162482647</v>
      </c>
      <c r="AV141" s="48">
        <f t="shared" si="80"/>
        <v>1065.3361374411611</v>
      </c>
      <c r="AW141" s="140">
        <f t="shared" si="42"/>
        <v>160.31830011864182</v>
      </c>
      <c r="AX141" s="53"/>
      <c r="AZ141" s="50">
        <f t="shared" si="43"/>
        <v>267.06054289909036</v>
      </c>
      <c r="BA141" s="50">
        <f t="shared" si="44"/>
        <v>267.06054289909036</v>
      </c>
      <c r="BB141" s="50">
        <f t="shared" si="81"/>
        <v>431.57940425668704</v>
      </c>
      <c r="BD141" s="50">
        <f t="shared" si="82"/>
        <v>525</v>
      </c>
      <c r="BE141" s="50">
        <f t="shared" si="83"/>
        <v>979</v>
      </c>
      <c r="BF141" s="53">
        <f t="shared" si="84"/>
        <v>1.595001291949302</v>
      </c>
      <c r="BG141" s="53">
        <f t="shared" si="45"/>
        <v>2.8031976217165908E-4</v>
      </c>
      <c r="BH141" s="53">
        <f t="shared" si="46"/>
        <v>1065.3361374411611</v>
      </c>
      <c r="BI141" s="127">
        <f t="shared" si="47"/>
        <v>160.31830011864182</v>
      </c>
      <c r="BK141" s="44">
        <f t="shared" si="94"/>
        <v>525</v>
      </c>
      <c r="BL141" s="45">
        <f t="shared" si="57"/>
        <v>979</v>
      </c>
      <c r="BM141" s="119" cm="1">
        <f t="array" ref="BM141">IF(($AG$51=0),0,
_xlfn.IFS(BK141&lt;=$BL$102,($AG$53*(1-(BK141/$BL$102))),AND(BK141&gt;$BL$102,BK141&lt;($AG$55+$BL$102)),0,BK141&gt;=($AG$55+$BL$102),($AG$53*((BK141-($AG$55+$BL$102))/$BL$102)))-$AG$54)</f>
        <v>0</v>
      </c>
      <c r="BN141" s="119" cm="1">
        <f t="array" ref="BN141">IF(($AG$51=0),0,
_xlfn.IFS(BK141&lt;=$BL$102,($BL$103*(1-(BK141/$BL$102))),AND(BK141&gt;$BL$102,BK141&lt;($AG$55+$BL$102)),0,BK141&gt;=($AG$55+$BL$102),($BL$103*((BK141-($AG$55+$BL$102))/$BL$102))))</f>
        <v>0</v>
      </c>
      <c r="BO141" s="120">
        <f t="shared" si="85"/>
        <v>0</v>
      </c>
      <c r="BP141" s="121">
        <f t="shared" si="86"/>
        <v>0</v>
      </c>
      <c r="BQ141" s="121">
        <f t="shared" si="58"/>
        <v>0</v>
      </c>
      <c r="BR141" s="48">
        <f t="shared" si="87"/>
        <v>0</v>
      </c>
      <c r="BS141" s="48">
        <f t="shared" si="88"/>
        <v>979</v>
      </c>
      <c r="BU141" s="122"/>
      <c r="BW141" s="50">
        <f t="shared" si="64"/>
        <v>525</v>
      </c>
      <c r="BX141" s="50">
        <f t="shared" si="65"/>
        <v>979</v>
      </c>
      <c r="BY141" s="53">
        <f t="shared" si="66"/>
        <v>0</v>
      </c>
      <c r="BZ141" s="53">
        <f t="shared" si="67"/>
        <v>0</v>
      </c>
      <c r="CA141" s="53">
        <f t="shared" si="68"/>
        <v>979</v>
      </c>
      <c r="CC141" s="126">
        <f t="shared" si="54"/>
        <v>1065.3361374411611</v>
      </c>
      <c r="CD141" s="127">
        <f t="shared" si="89"/>
        <v>8.8704397305981058</v>
      </c>
    </row>
    <row r="142" spans="2:82" x14ac:dyDescent="0.35">
      <c r="B142" s="50" t="b">
        <f t="shared" si="22"/>
        <v>1</v>
      </c>
      <c r="C142" s="21">
        <f t="shared" si="90"/>
        <v>71.59999999999998</v>
      </c>
      <c r="D142" s="13">
        <f t="shared" si="91"/>
        <v>2.359610240489018</v>
      </c>
      <c r="E142" s="143">
        <f t="shared" si="25"/>
        <v>169.38712677588865</v>
      </c>
      <c r="F142" s="52">
        <f t="shared" si="92"/>
        <v>1.4382933301461618</v>
      </c>
      <c r="G142" s="50">
        <f t="shared" si="27"/>
        <v>103.24941402351777</v>
      </c>
      <c r="H142" s="50">
        <f t="shared" si="74"/>
        <v>272.63654079940642</v>
      </c>
      <c r="I142" s="16">
        <f t="shared" si="28"/>
        <v>8.7051588858139048</v>
      </c>
      <c r="J142" s="22">
        <f t="shared" si="29"/>
        <v>3.9451175537601677E-2</v>
      </c>
      <c r="K142" s="15">
        <f t="shared" si="59"/>
        <v>630.39230041237749</v>
      </c>
      <c r="L142" s="15">
        <f t="shared" si="75"/>
        <v>425.79689322011313</v>
      </c>
      <c r="M142" s="17">
        <f t="shared" si="30"/>
        <v>0.64029715843527446</v>
      </c>
      <c r="N142" s="15">
        <f t="shared" si="31"/>
        <v>325.51627773498706</v>
      </c>
      <c r="O142" s="17">
        <f t="shared" si="32"/>
        <v>0.76448720720635555</v>
      </c>
      <c r="P142" s="15">
        <f t="shared" si="33"/>
        <v>0</v>
      </c>
      <c r="Q142" s="7">
        <f t="shared" si="34"/>
        <v>0</v>
      </c>
      <c r="R142" s="17">
        <f t="shared" si="76"/>
        <v>0.76448720720635555</v>
      </c>
      <c r="S142" s="17">
        <f t="shared" si="35"/>
        <v>0.5302088695140853</v>
      </c>
      <c r="T142" s="162">
        <f t="shared" si="36"/>
        <v>1619.4134665108311</v>
      </c>
      <c r="U142" s="162">
        <f>ABS($L142-$L143)*IF($B142,FORECAST($L142,
INDEX($Z$119:$AJ$119,MATCH($L142,$Z$105:$AJ$105,1)):INDEX($Z$119:$AJ$119,MATCH($L142,$Z$105:$AJ$105,1)+1),
INDEX($Z$105:$AJ$105,MATCH($L142,$Z$105:$AJ$105,1)):INDEX($Z$105:$AJ$105,MATCH($L142,$Z$105:$AJ$105,1)+1)),0)</f>
        <v>0</v>
      </c>
      <c r="V142" s="162">
        <f>ABS($L142-$L143)*IF($B142,FORECAST($L142,
INDEX($Z$120:$AJ$120,MATCH($L142,$Z$105:$AJ$105,1)):INDEX($Z$120:$AJ$120,MATCH($L142,$Z$105:$AJ$105,1)+1),
INDEX($Z$105:$AJ$105,MATCH($L142,$Z$105:$AJ$105,1)):INDEX($Z$105:$AJ$105,MATCH($L142,$Z$105:$AJ$105,1)+1)),0)</f>
        <v>1891.5044915786434</v>
      </c>
      <c r="W142" s="162">
        <f>ABS($L142-$L143)*IF($B142,FORECAST($L142,
INDEX($Z$121:$AJ$121,MATCH($L142,$Z$105:$AJ$105,1)):INDEX($Z$121:$AJ$121,MATCH($L142,$Z$105:$AJ$105,1)+1),
INDEX($Z$105:$AJ$105,MATCH($L142,$Z$105:$AJ$105,1)):INDEX($Z$105:$AJ$105,MATCH($L142,$Z$105:$AJ$105,1)+1)),0)</f>
        <v>2086.3317368646194</v>
      </c>
      <c r="X142" s="162">
        <f>ABS($L142-$L143)*IF($B142,FORECAST($L142,
INDEX($Z$122:$AJ$122,MATCH($L142,$Z$105:$AJ$105,1)):INDEX($Z$122:$AJ$122,MATCH($L142,$Z$105:$AJ$105,1)+1),
INDEX($Z$105:$AJ$105,MATCH($L142,$Z$105:$AJ$105,1)):INDEX($Z$105:$AJ$105,MATCH($L142,$Z$105:$AJ$105,1)+1)),0)</f>
        <v>1680.9499549541551</v>
      </c>
      <c r="AM142" s="44">
        <f t="shared" si="93"/>
        <v>540</v>
      </c>
      <c r="AN142" s="45">
        <f t="shared" si="55"/>
        <v>979</v>
      </c>
      <c r="AO142" s="54">
        <f t="shared" si="77"/>
        <v>0.82360058113408741</v>
      </c>
      <c r="AP142" s="54">
        <f t="shared" si="78"/>
        <v>0.82360058113408741</v>
      </c>
      <c r="AQ142" s="54">
        <f t="shared" si="73"/>
        <v>1.6472011622681748</v>
      </c>
      <c r="AR142" s="46">
        <f t="shared" si="79"/>
        <v>5.1460859866420101</v>
      </c>
      <c r="AS142" s="47">
        <f t="shared" si="40"/>
        <v>2.8949383325676447E-4</v>
      </c>
      <c r="AT142" s="47">
        <f t="shared" si="95"/>
        <v>1.2568267339079743E-6</v>
      </c>
      <c r="AU142" s="48">
        <f t="shared" si="41"/>
        <v>197.82674905765356</v>
      </c>
      <c r="AV142" s="48">
        <f t="shared" si="80"/>
        <v>1071.5781748739882</v>
      </c>
      <c r="AW142" s="140">
        <f t="shared" si="42"/>
        <v>172.02514736789198</v>
      </c>
      <c r="AX142" s="53"/>
      <c r="AZ142" s="50">
        <f t="shared" si="43"/>
        <v>272.63654079940642</v>
      </c>
      <c r="BA142" s="50">
        <f t="shared" si="44"/>
        <v>272.63654079940642</v>
      </c>
      <c r="BB142" s="50">
        <f t="shared" si="81"/>
        <v>425.79689322011313</v>
      </c>
      <c r="BD142" s="50">
        <f t="shared" si="82"/>
        <v>540</v>
      </c>
      <c r="BE142" s="50">
        <f t="shared" si="83"/>
        <v>979</v>
      </c>
      <c r="BF142" s="53">
        <f t="shared" si="84"/>
        <v>1.6472011622681748</v>
      </c>
      <c r="BG142" s="53">
        <f t="shared" si="45"/>
        <v>2.8949383325676447E-4</v>
      </c>
      <c r="BH142" s="53">
        <f t="shared" si="46"/>
        <v>1071.5781748739882</v>
      </c>
      <c r="BI142" s="127">
        <f t="shared" si="47"/>
        <v>172.02514736789198</v>
      </c>
      <c r="BK142" s="44">
        <f t="shared" si="94"/>
        <v>540</v>
      </c>
      <c r="BL142" s="45">
        <f t="shared" si="57"/>
        <v>979</v>
      </c>
      <c r="BM142" s="119" cm="1">
        <f t="array" ref="BM142">IF(($AG$51=0),0,
_xlfn.IFS(BK142&lt;=$BL$102,($AG$53*(1-(BK142/$BL$102))),AND(BK142&gt;$BL$102,BK142&lt;($AG$55+$BL$102)),0,BK142&gt;=($AG$55+$BL$102),($AG$53*((BK142-($AG$55+$BL$102))/$BL$102)))-$AG$54)</f>
        <v>0</v>
      </c>
      <c r="BN142" s="119" cm="1">
        <f t="array" ref="BN142">IF(($AG$51=0),0,
_xlfn.IFS(BK142&lt;=$BL$102,($BL$103*(1-(BK142/$BL$102))),AND(BK142&gt;$BL$102,BK142&lt;($AG$55+$BL$102)),0,BK142&gt;=($AG$55+$BL$102),($BL$103*((BK142-($AG$55+$BL$102))/$BL$102))))</f>
        <v>0</v>
      </c>
      <c r="BO142" s="120">
        <f t="shared" si="85"/>
        <v>0</v>
      </c>
      <c r="BP142" s="121">
        <f t="shared" si="86"/>
        <v>0</v>
      </c>
      <c r="BQ142" s="121">
        <f t="shared" si="58"/>
        <v>0</v>
      </c>
      <c r="BR142" s="48">
        <f t="shared" si="87"/>
        <v>0</v>
      </c>
      <c r="BS142" s="48">
        <f t="shared" si="88"/>
        <v>979</v>
      </c>
      <c r="BU142" s="122"/>
      <c r="BW142" s="50">
        <f t="shared" si="64"/>
        <v>540</v>
      </c>
      <c r="BX142" s="50">
        <f t="shared" si="65"/>
        <v>979</v>
      </c>
      <c r="BY142" s="53">
        <f t="shared" si="66"/>
        <v>0</v>
      </c>
      <c r="BZ142" s="53">
        <f t="shared" si="67"/>
        <v>0</v>
      </c>
      <c r="CA142" s="53">
        <f t="shared" si="68"/>
        <v>979</v>
      </c>
      <c r="CC142" s="126">
        <f t="shared" si="54"/>
        <v>1071.5781748739882</v>
      </c>
      <c r="CD142" s="127">
        <f t="shared" si="89"/>
        <v>8.8187686363724875</v>
      </c>
    </row>
    <row r="143" spans="2:82" x14ac:dyDescent="0.35">
      <c r="B143" s="50" t="b">
        <f t="shared" si="22"/>
        <v>1</v>
      </c>
      <c r="C143" s="21">
        <f t="shared" si="90"/>
        <v>73.588888888888874</v>
      </c>
      <c r="D143" s="13">
        <f t="shared" si="91"/>
        <v>2.3990614160266195</v>
      </c>
      <c r="E143" s="143">
        <f t="shared" si="25"/>
        <v>172.21917130492943</v>
      </c>
      <c r="F143" s="52">
        <f t="shared" si="92"/>
        <v>1.4771661228528148</v>
      </c>
      <c r="G143" s="50">
        <f t="shared" si="27"/>
        <v>106.03993872685609</v>
      </c>
      <c r="H143" s="50">
        <f t="shared" si="74"/>
        <v>278.25911003178555</v>
      </c>
      <c r="I143" s="16">
        <f t="shared" si="28"/>
        <v>8.8507035801850318</v>
      </c>
      <c r="J143" s="22">
        <f t="shared" si="29"/>
        <v>4.0110773985087687E-2</v>
      </c>
      <c r="K143" s="15">
        <f t="shared" si="59"/>
        <v>621.68814152656353</v>
      </c>
      <c r="L143" s="15">
        <f t="shared" si="75"/>
        <v>419.91769100071838</v>
      </c>
      <c r="M143" s="17">
        <f t="shared" si="30"/>
        <v>0.6626515528999456</v>
      </c>
      <c r="N143" s="15">
        <f t="shared" si="31"/>
        <v>324.77886043193922</v>
      </c>
      <c r="O143" s="17">
        <f t="shared" si="32"/>
        <v>0.77343457394697768</v>
      </c>
      <c r="P143" s="15">
        <f t="shared" si="33"/>
        <v>0</v>
      </c>
      <c r="Q143" s="7">
        <f t="shared" si="34"/>
        <v>0</v>
      </c>
      <c r="R143" s="17">
        <f t="shared" si="76"/>
        <v>0.77343457394697768</v>
      </c>
      <c r="S143" s="17">
        <f t="shared" si="35"/>
        <v>0.53641430128580714</v>
      </c>
      <c r="T143" s="162">
        <f t="shared" si="36"/>
        <v>1680.2426169684263</v>
      </c>
      <c r="U143" s="162">
        <f>ABS($L143-$L144)*IF($B143,FORECAST($L143,
INDEX($Z$119:$AJ$119,MATCH($L143,$Z$105:$AJ$105,1)):INDEX($Z$119:$AJ$119,MATCH($L143,$Z$105:$AJ$105,1)+1),
INDEX($Z$105:$AJ$105,MATCH($L143,$Z$105:$AJ$105,1)):INDEX($Z$105:$AJ$105,MATCH($L143,$Z$105:$AJ$105,1)+1)),0)</f>
        <v>0</v>
      </c>
      <c r="V143" s="162">
        <f>ABS($L143-$L144)*IF($B143,FORECAST($L143,
INDEX($Z$120:$AJ$120,MATCH($L143,$Z$105:$AJ$105,1)):INDEX($Z$120:$AJ$120,MATCH($L143,$Z$105:$AJ$105,1)+1),
INDEX($Z$105:$AJ$105,MATCH($L143,$Z$105:$AJ$105,1)):INDEX($Z$105:$AJ$105,MATCH($L143,$Z$105:$AJ$105,1)+1)),0)</f>
        <v>1926.4354643504912</v>
      </c>
      <c r="W143" s="162">
        <f>ABS($L143-$L144)*IF($B143,FORECAST($L143,
INDEX($Z$121:$AJ$121,MATCH($L143,$Z$105:$AJ$105,1)):INDEX($Z$121:$AJ$121,MATCH($L143,$Z$105:$AJ$105,1)+1),
INDEX($Z$105:$AJ$105,MATCH($L143,$Z$105:$AJ$105,1)):INDEX($Z$105:$AJ$105,MATCH($L143,$Z$105:$AJ$105,1)+1)),0)</f>
        <v>2123.5704099350264</v>
      </c>
      <c r="X143" s="162">
        <f>ABS($L143-$L144)*IF($B143,FORECAST($L143,
INDEX($Z$122:$AJ$122,MATCH($L143,$Z$105:$AJ$105,1)):INDEX($Z$122:$AJ$122,MATCH($L143,$Z$105:$AJ$105,1)+1),
INDEX($Z$105:$AJ$105,MATCH($L143,$Z$105:$AJ$105,1)):INDEX($Z$105:$AJ$105,MATCH($L143,$Z$105:$AJ$105,1)+1)),0)</f>
        <v>1710.6410279828017</v>
      </c>
      <c r="AM143" s="44">
        <f t="shared" si="93"/>
        <v>555</v>
      </c>
      <c r="AN143" s="45">
        <f t="shared" si="55"/>
        <v>979</v>
      </c>
      <c r="AO143" s="54">
        <f t="shared" si="77"/>
        <v>0.84790051585878246</v>
      </c>
      <c r="AP143" s="54">
        <f t="shared" si="78"/>
        <v>0.84790051585878246</v>
      </c>
      <c r="AQ143" s="54">
        <f t="shared" si="73"/>
        <v>1.6958010317175649</v>
      </c>
      <c r="AR143" s="46">
        <f t="shared" si="79"/>
        <v>5.2979187517317055</v>
      </c>
      <c r="AS143" s="47">
        <f t="shared" si="40"/>
        <v>2.9803520805965066E-4</v>
      </c>
      <c r="AT143" s="47">
        <f t="shared" si="95"/>
        <v>1.2568259955649167E-6</v>
      </c>
      <c r="AU143" s="48">
        <f t="shared" si="41"/>
        <v>203.63829997116869</v>
      </c>
      <c r="AV143" s="48">
        <f t="shared" si="80"/>
        <v>1077.3897257875033</v>
      </c>
      <c r="AW143" s="140">
        <f t="shared" si="42"/>
        <v>182.92462364057161</v>
      </c>
      <c r="AX143" s="53"/>
      <c r="AZ143" s="50">
        <f t="shared" si="43"/>
        <v>278.25911003178555</v>
      </c>
      <c r="BA143" s="50">
        <f t="shared" si="44"/>
        <v>278.25911003178555</v>
      </c>
      <c r="BB143" s="50">
        <f t="shared" si="81"/>
        <v>419.91769100071838</v>
      </c>
      <c r="BD143" s="50">
        <f t="shared" si="82"/>
        <v>555</v>
      </c>
      <c r="BE143" s="50">
        <f t="shared" si="83"/>
        <v>979</v>
      </c>
      <c r="BF143" s="53">
        <f t="shared" si="84"/>
        <v>1.6958010317175649</v>
      </c>
      <c r="BG143" s="53">
        <f t="shared" si="45"/>
        <v>2.9803520805965066E-4</v>
      </c>
      <c r="BH143" s="53">
        <f t="shared" si="46"/>
        <v>1077.3897257875033</v>
      </c>
      <c r="BI143" s="127">
        <f t="shared" si="47"/>
        <v>182.92462364057161</v>
      </c>
      <c r="BK143" s="44">
        <f t="shared" si="94"/>
        <v>555</v>
      </c>
      <c r="BL143" s="45">
        <f t="shared" si="57"/>
        <v>979</v>
      </c>
      <c r="BM143" s="119" cm="1">
        <f t="array" ref="BM143">IF(($AG$51=0),0,
_xlfn.IFS(BK143&lt;=$BL$102,($AG$53*(1-(BK143/$BL$102))),AND(BK143&gt;$BL$102,BK143&lt;($AG$55+$BL$102)),0,BK143&gt;=($AG$55+$BL$102),($AG$53*((BK143-($AG$55+$BL$102))/$BL$102)))-$AG$54)</f>
        <v>0</v>
      </c>
      <c r="BN143" s="119" cm="1">
        <f t="array" ref="BN143">IF(($AG$51=0),0,
_xlfn.IFS(BK143&lt;=$BL$102,($BL$103*(1-(BK143/$BL$102))),AND(BK143&gt;$BL$102,BK143&lt;($AG$55+$BL$102)),0,BK143&gt;=($AG$55+$BL$102),($BL$103*((BK143-($AG$55+$BL$102))/$BL$102))))</f>
        <v>0</v>
      </c>
      <c r="BO143" s="120">
        <f t="shared" si="85"/>
        <v>0</v>
      </c>
      <c r="BP143" s="121">
        <f t="shared" si="86"/>
        <v>0</v>
      </c>
      <c r="BQ143" s="121">
        <f t="shared" si="58"/>
        <v>0</v>
      </c>
      <c r="BR143" s="48">
        <f t="shared" si="87"/>
        <v>0</v>
      </c>
      <c r="BS143" s="48">
        <f t="shared" si="88"/>
        <v>979</v>
      </c>
      <c r="BU143" s="122"/>
      <c r="BW143" s="50">
        <f t="shared" si="64"/>
        <v>555</v>
      </c>
      <c r="BX143" s="50">
        <f t="shared" si="65"/>
        <v>979</v>
      </c>
      <c r="BY143" s="53">
        <f t="shared" si="66"/>
        <v>0</v>
      </c>
      <c r="BZ143" s="53">
        <f t="shared" si="67"/>
        <v>0</v>
      </c>
      <c r="CA143" s="53">
        <f t="shared" si="68"/>
        <v>979</v>
      </c>
      <c r="CC143" s="126">
        <f t="shared" si="54"/>
        <v>1077.3897257875033</v>
      </c>
      <c r="CD143" s="127">
        <f t="shared" si="89"/>
        <v>8.7711992919671218</v>
      </c>
    </row>
    <row r="144" spans="2:82" x14ac:dyDescent="0.35">
      <c r="B144" s="50" t="b">
        <f t="shared" si="22"/>
        <v>1</v>
      </c>
      <c r="C144" s="21">
        <f t="shared" si="90"/>
        <v>75.577777777777769</v>
      </c>
      <c r="D144" s="13">
        <f t="shared" si="91"/>
        <v>2.4391721900117074</v>
      </c>
      <c r="E144" s="143">
        <f t="shared" si="25"/>
        <v>175.09856580894845</v>
      </c>
      <c r="F144" s="52">
        <f t="shared" si="92"/>
        <v>1.5160389155594678</v>
      </c>
      <c r="G144" s="50">
        <f t="shared" si="27"/>
        <v>108.8304634301944</v>
      </c>
      <c r="H144" s="50">
        <f t="shared" si="74"/>
        <v>283.92902923914284</v>
      </c>
      <c r="I144" s="16">
        <f t="shared" si="28"/>
        <v>8.9986816888496204</v>
      </c>
      <c r="J144" s="22">
        <f t="shared" si="29"/>
        <v>4.0781400497162335E-2</v>
      </c>
      <c r="K144" s="15">
        <f t="shared" si="59"/>
        <v>612.83843794637846</v>
      </c>
      <c r="L144" s="15">
        <f t="shared" si="75"/>
        <v>413.94018098370719</v>
      </c>
      <c r="M144" s="17">
        <f t="shared" si="30"/>
        <v>0.68591801975928102</v>
      </c>
      <c r="N144" s="15">
        <f t="shared" si="31"/>
        <v>323.92280214205141</v>
      </c>
      <c r="O144" s="17">
        <f t="shared" si="32"/>
        <v>0.78253529621663165</v>
      </c>
      <c r="P144" s="15">
        <f t="shared" si="33"/>
        <v>0</v>
      </c>
      <c r="Q144" s="7">
        <f t="shared" si="34"/>
        <v>0</v>
      </c>
      <c r="R144" s="17">
        <f t="shared" si="76"/>
        <v>0.78253529621663165</v>
      </c>
      <c r="S144" s="17">
        <f t="shared" si="35"/>
        <v>0.54272609253734139</v>
      </c>
      <c r="T144" s="162">
        <f t="shared" si="36"/>
        <v>1742.9433792585473</v>
      </c>
      <c r="U144" s="162">
        <f>ABS($L144-$L145)*IF($B144,FORECAST($L144,
INDEX($Z$119:$AJ$119,MATCH($L144,$Z$105:$AJ$105,1)):INDEX($Z$119:$AJ$119,MATCH($L144,$Z$105:$AJ$105,1)+1),
INDEX($Z$105:$AJ$105,MATCH($L144,$Z$105:$AJ$105,1)):INDEX($Z$105:$AJ$105,MATCH($L144,$Z$105:$AJ$105,1)+1)),0)</f>
        <v>0</v>
      </c>
      <c r="V144" s="162">
        <f>ABS($L144-$L145)*IF($B144,FORECAST($L144,
INDEX($Z$120:$AJ$120,MATCH($L144,$Z$105:$AJ$105,1)):INDEX($Z$120:$AJ$120,MATCH($L144,$Z$105:$AJ$105,1)+1),
INDEX($Z$105:$AJ$105,MATCH($L144,$Z$105:$AJ$105,1)):INDEX($Z$105:$AJ$105,MATCH($L144,$Z$105:$AJ$105,1)+1)),0)</f>
        <v>1962.0618373862808</v>
      </c>
      <c r="W144" s="162">
        <f>ABS($L144-$L145)*IF($B144,FORECAST($L144,
INDEX($Z$121:$AJ$121,MATCH($L144,$Z$105:$AJ$105,1)):INDEX($Z$121:$AJ$121,MATCH($L144,$Z$105:$AJ$105,1)+1),
INDEX($Z$105:$AJ$105,MATCH($L144,$Z$105:$AJ$105,1)):INDEX($Z$105:$AJ$105,MATCH($L144,$Z$105:$AJ$105,1)+1)),0)</f>
        <v>2161.5110266659321</v>
      </c>
      <c r="X144" s="162">
        <f>ABS($L144-$L145)*IF($B144,FORECAST($L144,
INDEX($Z$122:$AJ$122,MATCH($L144,$Z$105:$AJ$105,1)):INDEX($Z$122:$AJ$122,MATCH($L144,$Z$105:$AJ$105,1)+1),
INDEX($Z$105:$AJ$105,MATCH($L144,$Z$105:$AJ$105,1)):INDEX($Z$105:$AJ$105,MATCH($L144,$Z$105:$AJ$105,1)+1)),0)</f>
        <v>1740.8819165777882</v>
      </c>
      <c r="AM144" s="44">
        <f t="shared" si="93"/>
        <v>570</v>
      </c>
      <c r="AN144" s="45">
        <f t="shared" si="55"/>
        <v>979</v>
      </c>
      <c r="AO144" s="54">
        <f t="shared" si="77"/>
        <v>0.87040045121102594</v>
      </c>
      <c r="AP144" s="54">
        <f t="shared" si="78"/>
        <v>0.87040045121102594</v>
      </c>
      <c r="AQ144" s="54">
        <f t="shared" si="73"/>
        <v>1.7408009024220519</v>
      </c>
      <c r="AR144" s="46">
        <f t="shared" si="79"/>
        <v>5.4385046190426474</v>
      </c>
      <c r="AS144" s="47">
        <f t="shared" si="40"/>
        <v>3.0594388695371022E-4</v>
      </c>
      <c r="AT144" s="47">
        <f t="shared" si="95"/>
        <v>1.2568253164924992E-6</v>
      </c>
      <c r="AU144" s="48">
        <f t="shared" si="41"/>
        <v>209.01936462864592</v>
      </c>
      <c r="AV144" s="48">
        <f t="shared" si="80"/>
        <v>1082.7707904449803</v>
      </c>
      <c r="AW144" s="140">
        <f t="shared" si="42"/>
        <v>193.01672941315951</v>
      </c>
      <c r="AX144" s="53"/>
      <c r="AZ144" s="50">
        <f t="shared" si="43"/>
        <v>283.92902923914284</v>
      </c>
      <c r="BA144" s="50">
        <f t="shared" si="44"/>
        <v>283.92902923914284</v>
      </c>
      <c r="BB144" s="50">
        <f t="shared" si="81"/>
        <v>413.94018098370719</v>
      </c>
      <c r="BD144" s="50">
        <f t="shared" si="82"/>
        <v>570</v>
      </c>
      <c r="BE144" s="50">
        <f t="shared" si="83"/>
        <v>979</v>
      </c>
      <c r="BF144" s="53">
        <f t="shared" si="84"/>
        <v>1.7408009024220519</v>
      </c>
      <c r="BG144" s="53">
        <f t="shared" si="45"/>
        <v>3.0594388695371022E-4</v>
      </c>
      <c r="BH144" s="53">
        <f t="shared" si="46"/>
        <v>1082.7707904449803</v>
      </c>
      <c r="BI144" s="127">
        <f t="shared" si="47"/>
        <v>193.01672941315951</v>
      </c>
      <c r="BK144" s="44">
        <f t="shared" si="94"/>
        <v>570</v>
      </c>
      <c r="BL144" s="45">
        <f t="shared" si="57"/>
        <v>979</v>
      </c>
      <c r="BM144" s="119" cm="1">
        <f t="array" ref="BM144">IF(($AG$51=0),0,
_xlfn.IFS(BK144&lt;=$BL$102,($AG$53*(1-(BK144/$BL$102))),AND(BK144&gt;$BL$102,BK144&lt;($AG$55+$BL$102)),0,BK144&gt;=($AG$55+$BL$102),($AG$53*((BK144-($AG$55+$BL$102))/$BL$102)))-$AG$54)</f>
        <v>0</v>
      </c>
      <c r="BN144" s="119" cm="1">
        <f t="array" ref="BN144">IF(($AG$51=0),0,
_xlfn.IFS(BK144&lt;=$BL$102,($BL$103*(1-(BK144/$BL$102))),AND(BK144&gt;$BL$102,BK144&lt;($AG$55+$BL$102)),0,BK144&gt;=($AG$55+$BL$102),($BL$103*((BK144-($AG$55+$BL$102))/$BL$102))))</f>
        <v>0</v>
      </c>
      <c r="BO144" s="120">
        <f t="shared" si="85"/>
        <v>0</v>
      </c>
      <c r="BP144" s="121">
        <f t="shared" si="86"/>
        <v>0</v>
      </c>
      <c r="BQ144" s="121">
        <f t="shared" si="58"/>
        <v>0</v>
      </c>
      <c r="BR144" s="48">
        <f t="shared" si="87"/>
        <v>0</v>
      </c>
      <c r="BS144" s="48">
        <f t="shared" si="88"/>
        <v>979</v>
      </c>
      <c r="BU144" s="122"/>
      <c r="BW144" s="50">
        <f t="shared" si="64"/>
        <v>570</v>
      </c>
      <c r="BX144" s="50">
        <f t="shared" si="65"/>
        <v>979</v>
      </c>
      <c r="BY144" s="53">
        <f t="shared" si="66"/>
        <v>0</v>
      </c>
      <c r="BZ144" s="53">
        <f t="shared" si="67"/>
        <v>0</v>
      </c>
      <c r="CA144" s="53">
        <f t="shared" si="68"/>
        <v>979</v>
      </c>
      <c r="CC144" s="126">
        <f t="shared" si="54"/>
        <v>1082.7707904449803</v>
      </c>
      <c r="CD144" s="127">
        <f t="shared" si="89"/>
        <v>8.7276089116851647</v>
      </c>
    </row>
    <row r="145" spans="2:82" x14ac:dyDescent="0.35">
      <c r="B145" s="50" t="b">
        <f t="shared" si="22"/>
        <v>1</v>
      </c>
      <c r="C145" s="21">
        <f t="shared" si="90"/>
        <v>77.566666666666663</v>
      </c>
      <c r="D145" s="13">
        <f t="shared" si="91"/>
        <v>2.4799535905088699</v>
      </c>
      <c r="E145" s="143">
        <f t="shared" si="25"/>
        <v>178.02610194927286</v>
      </c>
      <c r="F145" s="52">
        <f t="shared" si="92"/>
        <v>1.5549117082661208</v>
      </c>
      <c r="G145" s="50">
        <f t="shared" si="27"/>
        <v>111.62098813353272</v>
      </c>
      <c r="H145" s="50">
        <f t="shared" si="74"/>
        <v>289.64709008280556</v>
      </c>
      <c r="I145" s="16">
        <f t="shared" si="28"/>
        <v>9.1491338969398157</v>
      </c>
      <c r="J145" s="22">
        <f t="shared" si="29"/>
        <v>4.1463239456019103E-2</v>
      </c>
      <c r="K145" s="15">
        <f t="shared" si="59"/>
        <v>603.84075625752882</v>
      </c>
      <c r="L145" s="15">
        <f t="shared" si="75"/>
        <v>407.8627195255176</v>
      </c>
      <c r="M145" s="17">
        <f t="shared" si="30"/>
        <v>0.71015828664057157</v>
      </c>
      <c r="N145" s="15">
        <f t="shared" si="31"/>
        <v>322.94253405044492</v>
      </c>
      <c r="O145" s="17">
        <f t="shared" si="32"/>
        <v>0.7917922344707955</v>
      </c>
      <c r="P145" s="15">
        <f t="shared" si="33"/>
        <v>0</v>
      </c>
      <c r="Q145" s="7">
        <f t="shared" si="34"/>
        <v>0</v>
      </c>
      <c r="R145" s="17">
        <f t="shared" si="76"/>
        <v>0.7917922344707955</v>
      </c>
      <c r="S145" s="17">
        <f t="shared" si="35"/>
        <v>0.54914622713297112</v>
      </c>
      <c r="T145" s="162">
        <f t="shared" si="36"/>
        <v>1807.5711183876326</v>
      </c>
      <c r="U145" s="162">
        <f>ABS($L145-$L146)*IF($B145,FORECAST($L145,
INDEX($Z$119:$AJ$119,MATCH($L145,$Z$105:$AJ$105,1)):INDEX($Z$119:$AJ$119,MATCH($L145,$Z$105:$AJ$105,1)+1),
INDEX($Z$105:$AJ$105,MATCH($L145,$Z$105:$AJ$105,1)):INDEX($Z$105:$AJ$105,MATCH($L145,$Z$105:$AJ$105,1)+1)),0)</f>
        <v>0</v>
      </c>
      <c r="V145" s="162">
        <f>ABS($L145-$L146)*IF($B145,FORECAST($L145,
INDEX($Z$120:$AJ$120,MATCH($L145,$Z$105:$AJ$105,1)):INDEX($Z$120:$AJ$120,MATCH($L145,$Z$105:$AJ$105,1)+1),
INDEX($Z$105:$AJ$105,MATCH($L145,$Z$105:$AJ$105,1)):INDEX($Z$105:$AJ$105,MATCH($L145,$Z$105:$AJ$105,1)+1)),0)</f>
        <v>1998.3989928709909</v>
      </c>
      <c r="W145" s="162">
        <f>ABS($L145-$L146)*IF($B145,FORECAST($L145,
INDEX($Z$121:$AJ$121,MATCH($L145,$Z$105:$AJ$105,1)):INDEX($Z$121:$AJ$121,MATCH($L145,$Z$105:$AJ$105,1)+1),
INDEX($Z$105:$AJ$105,MATCH($L145,$Z$105:$AJ$105,1)):INDEX($Z$105:$AJ$105,MATCH($L145,$Z$105:$AJ$105,1)+1)),0)</f>
        <v>2200.1679982837841</v>
      </c>
      <c r="X145" s="162">
        <f>ABS($L145-$L146)*IF($B145,FORECAST($L145,
INDEX($Z$122:$AJ$122,MATCH($L145,$Z$105:$AJ$105,1)):INDEX($Z$122:$AJ$122,MATCH($L145,$Z$105:$AJ$105,1)+1),
INDEX($Z$105:$AJ$105,MATCH($L145,$Z$105:$AJ$105,1)):INDEX($Z$105:$AJ$105,MATCH($L145,$Z$105:$AJ$105,1)+1)),0)</f>
        <v>1771.6836139039449</v>
      </c>
      <c r="AM145" s="44">
        <f t="shared" si="93"/>
        <v>585</v>
      </c>
      <c r="AN145" s="45">
        <f t="shared" si="55"/>
        <v>979</v>
      </c>
      <c r="AO145" s="54">
        <f t="shared" si="77"/>
        <v>0.89110038816579618</v>
      </c>
      <c r="AP145" s="54">
        <f t="shared" si="78"/>
        <v>0.89110038816579618</v>
      </c>
      <c r="AQ145" s="54">
        <f t="shared" si="73"/>
        <v>1.7822007763315924</v>
      </c>
      <c r="AR145" s="46">
        <f t="shared" si="79"/>
        <v>5.5678435946667717</v>
      </c>
      <c r="AS145" s="47">
        <f t="shared" si="40"/>
        <v>3.1321987028164595E-4</v>
      </c>
      <c r="AT145" s="47">
        <f t="shared" si="95"/>
        <v>1.2568246983842319E-6</v>
      </c>
      <c r="AU145" s="48">
        <f t="shared" si="41"/>
        <v>213.96994326441251</v>
      </c>
      <c r="AV145" s="48">
        <f t="shared" si="80"/>
        <v>1087.7213690807471</v>
      </c>
      <c r="AW145" s="140">
        <f t="shared" si="42"/>
        <v>202.30146512297179</v>
      </c>
      <c r="AX145" s="53"/>
      <c r="AZ145" s="50">
        <f t="shared" si="43"/>
        <v>289.64709008280556</v>
      </c>
      <c r="BA145" s="50">
        <f t="shared" si="44"/>
        <v>289.64709008280556</v>
      </c>
      <c r="BB145" s="50">
        <f t="shared" si="81"/>
        <v>407.8627195255176</v>
      </c>
      <c r="BD145" s="50">
        <f t="shared" si="82"/>
        <v>585</v>
      </c>
      <c r="BE145" s="50">
        <f t="shared" si="83"/>
        <v>979</v>
      </c>
      <c r="BF145" s="53">
        <f t="shared" si="84"/>
        <v>1.7822007763315924</v>
      </c>
      <c r="BG145" s="53">
        <f t="shared" si="45"/>
        <v>3.1321987028164595E-4</v>
      </c>
      <c r="BH145" s="53">
        <f t="shared" si="46"/>
        <v>1087.7213690807471</v>
      </c>
      <c r="BI145" s="127">
        <f t="shared" si="47"/>
        <v>202.30146512297179</v>
      </c>
      <c r="BK145" s="44">
        <f t="shared" si="94"/>
        <v>585</v>
      </c>
      <c r="BL145" s="45">
        <f t="shared" si="57"/>
        <v>979</v>
      </c>
      <c r="BM145" s="119" cm="1">
        <f t="array" ref="BM145">IF(($AG$51=0),0,
_xlfn.IFS(BK145&lt;=$BL$102,($AG$53*(1-(BK145/$BL$102))),AND(BK145&gt;$BL$102,BK145&lt;($AG$55+$BL$102)),0,BK145&gt;=($AG$55+$BL$102),($AG$53*((BK145-($AG$55+$BL$102))/$BL$102)))-$AG$54)</f>
        <v>0</v>
      </c>
      <c r="BN145" s="119" cm="1">
        <f t="array" ref="BN145">IF(($AG$51=0),0,
_xlfn.IFS(BK145&lt;=$BL$102,($BL$103*(1-(BK145/$BL$102))),AND(BK145&gt;$BL$102,BK145&lt;($AG$55+$BL$102)),0,BK145&gt;=($AG$55+$BL$102),($BL$103*((BK145-($AG$55+$BL$102))/$BL$102))))</f>
        <v>0</v>
      </c>
      <c r="BO145" s="120">
        <f t="shared" si="85"/>
        <v>0</v>
      </c>
      <c r="BP145" s="121">
        <f t="shared" si="86"/>
        <v>0</v>
      </c>
      <c r="BQ145" s="121">
        <f t="shared" si="58"/>
        <v>0</v>
      </c>
      <c r="BR145" s="48">
        <f t="shared" si="87"/>
        <v>0</v>
      </c>
      <c r="BS145" s="48">
        <f t="shared" si="88"/>
        <v>979</v>
      </c>
      <c r="BU145" s="122"/>
      <c r="BW145" s="50">
        <f t="shared" si="64"/>
        <v>585</v>
      </c>
      <c r="BX145" s="50">
        <f t="shared" si="65"/>
        <v>979</v>
      </c>
      <c r="BY145" s="53">
        <f t="shared" si="66"/>
        <v>0</v>
      </c>
      <c r="BZ145" s="53">
        <f t="shared" si="67"/>
        <v>0</v>
      </c>
      <c r="CA145" s="53">
        <f t="shared" si="68"/>
        <v>979</v>
      </c>
      <c r="CC145" s="126">
        <f t="shared" si="54"/>
        <v>1087.7213690807471</v>
      </c>
      <c r="CD145" s="127">
        <f t="shared" si="89"/>
        <v>8.6878866855271628</v>
      </c>
    </row>
    <row r="146" spans="2:82" x14ac:dyDescent="0.35">
      <c r="B146" s="50" t="b">
        <f t="shared" si="22"/>
        <v>1</v>
      </c>
      <c r="C146" s="21">
        <f t="shared" si="90"/>
        <v>79.555555555555557</v>
      </c>
      <c r="D146" s="13">
        <f t="shared" si="91"/>
        <v>2.5214168299648891</v>
      </c>
      <c r="E146" s="143">
        <f t="shared" si="25"/>
        <v>181.00258462330135</v>
      </c>
      <c r="F146" s="52">
        <f t="shared" si="92"/>
        <v>1.5937845009727738</v>
      </c>
      <c r="G146" s="50">
        <f t="shared" si="27"/>
        <v>114.41151283687104</v>
      </c>
      <c r="H146" s="50">
        <f t="shared" si="74"/>
        <v>295.4140974601724</v>
      </c>
      <c r="I146" s="16">
        <f t="shared" si="28"/>
        <v>9.302101569817177</v>
      </c>
      <c r="J146" s="22">
        <f t="shared" si="29"/>
        <v>4.2156478326603943E-2</v>
      </c>
      <c r="K146" s="15">
        <f t="shared" si="59"/>
        <v>594.69262236058898</v>
      </c>
      <c r="L146" s="15">
        <f t="shared" si="75"/>
        <v>401.68363550191759</v>
      </c>
      <c r="M146" s="17">
        <f t="shared" si="30"/>
        <v>0.73543971262618724</v>
      </c>
      <c r="N146" s="15">
        <f t="shared" si="31"/>
        <v>321.83227334461702</v>
      </c>
      <c r="O146" s="17">
        <f t="shared" si="32"/>
        <v>0.80120832640462558</v>
      </c>
      <c r="P146" s="15">
        <f t="shared" si="33"/>
        <v>0</v>
      </c>
      <c r="Q146" s="7">
        <f t="shared" si="34"/>
        <v>0</v>
      </c>
      <c r="R146" s="17">
        <f t="shared" si="76"/>
        <v>0.80120832640462558</v>
      </c>
      <c r="S146" s="17">
        <f t="shared" si="35"/>
        <v>0.55567674250643395</v>
      </c>
      <c r="T146" s="162">
        <f t="shared" si="36"/>
        <v>1874.1828574532005</v>
      </c>
      <c r="U146" s="162">
        <f>ABS($L146-$L147)*IF($B146,FORECAST($L146,
INDEX($Z$119:$AJ$119,MATCH($L146,$Z$105:$AJ$105,1)):INDEX($Z$119:$AJ$119,MATCH($L146,$Z$105:$AJ$105,1)+1),
INDEX($Z$105:$AJ$105,MATCH($L146,$Z$105:$AJ$105,1)):INDEX($Z$105:$AJ$105,MATCH($L146,$Z$105:$AJ$105,1)+1)),0)</f>
        <v>0</v>
      </c>
      <c r="V146" s="162">
        <f>ABS($L146-$L147)*IF($B146,FORECAST($L146,
INDEX($Z$120:$AJ$120,MATCH($L146,$Z$105:$AJ$105,1)):INDEX($Z$120:$AJ$120,MATCH($L146,$Z$105:$AJ$105,1)+1),
INDEX($Z$105:$AJ$105,MATCH($L146,$Z$105:$AJ$105,1)):INDEX($Z$105:$AJ$105,MATCH($L146,$Z$105:$AJ$105,1)+1)),0)</f>
        <v>2035.4626968019406</v>
      </c>
      <c r="W146" s="162">
        <f>ABS($L146-$L147)*IF($B146,FORECAST($L146,
INDEX($Z$121:$AJ$121,MATCH($L146,$Z$105:$AJ$105,1)):INDEX($Z$121:$AJ$121,MATCH($L146,$Z$105:$AJ$105,1)+1),
INDEX($Z$105:$AJ$105,MATCH($L146,$Z$105:$AJ$105,1)):INDEX($Z$105:$AJ$105,MATCH($L146,$Z$105:$AJ$105,1)+1)),0)</f>
        <v>2239.5560671651938</v>
      </c>
      <c r="X146" s="162">
        <f>ABS($L146-$L147)*IF($B146,FORECAST($L146,
INDEX($Z$122:$AJ$122,MATCH($L146,$Z$105:$AJ$105,1)):INDEX($Z$122:$AJ$122,MATCH($L146,$Z$105:$AJ$105,1)+1),
INDEX($Z$105:$AJ$105,MATCH($L146,$Z$105:$AJ$105,1)):INDEX($Z$105:$AJ$105,MATCH($L146,$Z$105:$AJ$105,1)+1)),0)</f>
        <v>1803.0573576388088</v>
      </c>
      <c r="AM146" s="44">
        <f t="shared" si="93"/>
        <v>600</v>
      </c>
      <c r="AN146" s="45">
        <f t="shared" si="55"/>
        <v>979</v>
      </c>
      <c r="AO146" s="54">
        <f t="shared" si="77"/>
        <v>0.91000032759620808</v>
      </c>
      <c r="AP146" s="54">
        <f t="shared" si="78"/>
        <v>0.91000032759620808</v>
      </c>
      <c r="AQ146" s="54">
        <f t="shared" si="73"/>
        <v>1.8200006551924162</v>
      </c>
      <c r="AR146" s="46">
        <f t="shared" si="79"/>
        <v>5.6859356840595439</v>
      </c>
      <c r="AS146" s="47">
        <f t="shared" si="40"/>
        <v>3.1986315835035587E-4</v>
      </c>
      <c r="AT146" s="47">
        <f t="shared" si="95"/>
        <v>1.2568241209187434E-6</v>
      </c>
      <c r="AU146" s="48">
        <f t="shared" si="41"/>
        <v>218.49003607345526</v>
      </c>
      <c r="AV146" s="48">
        <f t="shared" si="80"/>
        <v>1092.2414618897897</v>
      </c>
      <c r="AW146" s="140">
        <f t="shared" si="42"/>
        <v>210.77883116163483</v>
      </c>
      <c r="AX146" s="53"/>
      <c r="AZ146" s="50">
        <f t="shared" si="43"/>
        <v>295.4140974601724</v>
      </c>
      <c r="BA146" s="50">
        <f t="shared" si="44"/>
        <v>295.4140974601724</v>
      </c>
      <c r="BB146" s="50">
        <f t="shared" si="81"/>
        <v>401.68363550191759</v>
      </c>
      <c r="BD146" s="50">
        <f t="shared" si="82"/>
        <v>600</v>
      </c>
      <c r="BE146" s="50">
        <f t="shared" si="83"/>
        <v>979</v>
      </c>
      <c r="BF146" s="53">
        <f t="shared" si="84"/>
        <v>1.8200006551924162</v>
      </c>
      <c r="BG146" s="53">
        <f t="shared" si="45"/>
        <v>3.1986315835035587E-4</v>
      </c>
      <c r="BH146" s="53">
        <f t="shared" si="46"/>
        <v>1092.2414618897897</v>
      </c>
      <c r="BI146" s="127">
        <f t="shared" si="47"/>
        <v>210.77883116163483</v>
      </c>
      <c r="BK146" s="44">
        <f t="shared" si="94"/>
        <v>600</v>
      </c>
      <c r="BL146" s="45">
        <f t="shared" si="57"/>
        <v>979</v>
      </c>
      <c r="BM146" s="119" cm="1">
        <f t="array" ref="BM146">IF(($AG$51=0),0,
_xlfn.IFS(BK146&lt;=$BL$102,($AG$53*(1-(BK146/$BL$102))),AND(BK146&gt;$BL$102,BK146&lt;($AG$55+$BL$102)),0,BK146&gt;=($AG$55+$BL$102),($AG$53*((BK146-($AG$55+$BL$102))/$BL$102)))-$AG$54)</f>
        <v>0</v>
      </c>
      <c r="BN146" s="119" cm="1">
        <f t="array" ref="BN146">IF(($AG$51=0),0,
_xlfn.IFS(BK146&lt;=$BL$102,($BL$103*(1-(BK146/$BL$102))),AND(BK146&gt;$BL$102,BK146&lt;($AG$55+$BL$102)),0,BK146&gt;=($AG$55+$BL$102),($BL$103*((BK146-($AG$55+$BL$102))/$BL$102))))</f>
        <v>0</v>
      </c>
      <c r="BO146" s="120">
        <f t="shared" si="85"/>
        <v>0</v>
      </c>
      <c r="BP146" s="121">
        <f t="shared" si="86"/>
        <v>0</v>
      </c>
      <c r="BQ146" s="121">
        <f t="shared" si="58"/>
        <v>0</v>
      </c>
      <c r="BR146" s="48">
        <f t="shared" si="87"/>
        <v>0</v>
      </c>
      <c r="BS146" s="48">
        <f t="shared" si="88"/>
        <v>979</v>
      </c>
      <c r="BU146" s="122"/>
      <c r="BW146" s="50">
        <f t="shared" si="64"/>
        <v>600</v>
      </c>
      <c r="BX146" s="50">
        <f t="shared" si="65"/>
        <v>979</v>
      </c>
      <c r="BY146" s="53">
        <f t="shared" si="66"/>
        <v>0</v>
      </c>
      <c r="BZ146" s="53">
        <f t="shared" si="67"/>
        <v>0</v>
      </c>
      <c r="CA146" s="53">
        <f t="shared" si="68"/>
        <v>979</v>
      </c>
      <c r="CC146" s="126">
        <f t="shared" si="54"/>
        <v>1092.2414618897897</v>
      </c>
      <c r="CD146" s="127">
        <f t="shared" si="89"/>
        <v>8.6519330475238192</v>
      </c>
    </row>
    <row r="147" spans="2:82" x14ac:dyDescent="0.35">
      <c r="B147" s="50" t="b">
        <f t="shared" si="22"/>
        <v>1</v>
      </c>
      <c r="C147" s="21">
        <f t="shared" si="90"/>
        <v>81.544444444444451</v>
      </c>
      <c r="D147" s="13">
        <f t="shared" si="91"/>
        <v>2.5635733082914931</v>
      </c>
      <c r="E147" s="143">
        <f t="shared" si="25"/>
        <v>184.02883218580286</v>
      </c>
      <c r="F147" s="52">
        <f t="shared" si="92"/>
        <v>1.6326572936794268</v>
      </c>
      <c r="G147" s="50">
        <f t="shared" si="27"/>
        <v>117.20203754020936</v>
      </c>
      <c r="H147" s="50">
        <f t="shared" si="74"/>
        <v>301.2308697260122</v>
      </c>
      <c r="I147" s="16">
        <f t="shared" si="28"/>
        <v>9.4576267644456795</v>
      </c>
      <c r="J147" s="22">
        <f t="shared" si="29"/>
        <v>4.286130770815693E-2</v>
      </c>
      <c r="K147" s="15">
        <f t="shared" si="59"/>
        <v>585.39152079077178</v>
      </c>
      <c r="L147" s="15">
        <f t="shared" si="75"/>
        <v>395.40122984854565</v>
      </c>
      <c r="M147" s="17">
        <f t="shared" si="30"/>
        <v>0.76183594532924337</v>
      </c>
      <c r="N147" s="15">
        <f t="shared" si="31"/>
        <v>320.586015560259</v>
      </c>
      <c r="O147" s="17">
        <f t="shared" si="32"/>
        <v>0.81078659184508894</v>
      </c>
      <c r="P147" s="15">
        <f t="shared" si="33"/>
        <v>0</v>
      </c>
      <c r="Q147" s="7">
        <f t="shared" si="34"/>
        <v>0</v>
      </c>
      <c r="R147" s="17">
        <f t="shared" si="76"/>
        <v>0.81078659184508894</v>
      </c>
      <c r="S147" s="17">
        <f t="shared" si="35"/>
        <v>0.56231973305385208</v>
      </c>
      <c r="T147" s="162">
        <f t="shared" si="36"/>
        <v>1942.8373287366712</v>
      </c>
      <c r="U147" s="162">
        <f>ABS($L147-$L148)*IF($B147,FORECAST($L147,
INDEX($Z$119:$AJ$119,MATCH($L147,$Z$105:$AJ$105,1)):INDEX($Z$119:$AJ$119,MATCH($L147,$Z$105:$AJ$105,1)+1),
INDEX($Z$105:$AJ$105,MATCH($L147,$Z$105:$AJ$105,1)):INDEX($Z$105:$AJ$105,MATCH($L147,$Z$105:$AJ$105,1)+1)),0)</f>
        <v>0</v>
      </c>
      <c r="V147" s="162">
        <f>ABS($L147-$L148)*IF($B147,FORECAST($L147,
INDEX($Z$120:$AJ$120,MATCH($L147,$Z$105:$AJ$105,1)):INDEX($Z$120:$AJ$120,MATCH($L147,$Z$105:$AJ$105,1)+1),
INDEX($Z$105:$AJ$105,MATCH($L147,$Z$105:$AJ$105,1)):INDEX($Z$105:$AJ$105,MATCH($L147,$Z$105:$AJ$105,1)+1)),0)</f>
        <v>2075.1976698646954</v>
      </c>
      <c r="W147" s="162">
        <f>ABS($L147-$L148)*IF($B147,FORECAST($L147,
INDEX($Z$121:$AJ$121,MATCH($L147,$Z$105:$AJ$105,1)):INDEX($Z$121:$AJ$121,MATCH($L147,$Z$105:$AJ$105,1)+1),
INDEX($Z$105:$AJ$105,MATCH($L147,$Z$105:$AJ$105,1)):INDEX($Z$105:$AJ$105,MATCH($L147,$Z$105:$AJ$105,1)+1)),0)</f>
        <v>2276.0600844708715</v>
      </c>
      <c r="X147" s="162">
        <f>ABS($L147-$L148)*IF($B147,FORECAST($L147,
INDEX($Z$122:$AJ$122,MATCH($L147,$Z$105:$AJ$105,1)):INDEX($Z$122:$AJ$122,MATCH($L147,$Z$105:$AJ$105,1)+1),
INDEX($Z$105:$AJ$105,MATCH($L147,$Z$105:$AJ$105,1)):INDEX($Z$105:$AJ$105,MATCH($L147,$Z$105:$AJ$105,1)+1)),0)</f>
        <v>1839.2499055426254</v>
      </c>
      <c r="AM147" s="44">
        <f t="shared" si="93"/>
        <v>615</v>
      </c>
      <c r="AN147" s="45">
        <f t="shared" si="55"/>
        <v>979</v>
      </c>
      <c r="AO147" s="54">
        <f t="shared" si="77"/>
        <v>0.92710027034627274</v>
      </c>
      <c r="AP147" s="54">
        <f t="shared" si="78"/>
        <v>0.92710027034627274</v>
      </c>
      <c r="AQ147" s="54">
        <f t="shared" si="73"/>
        <v>1.8542005406925455</v>
      </c>
      <c r="AR147" s="46">
        <f t="shared" si="79"/>
        <v>5.7927808924945792</v>
      </c>
      <c r="AS147" s="47">
        <f t="shared" si="40"/>
        <v>3.2587375145650798E-4</v>
      </c>
      <c r="AT147" s="47">
        <f t="shared" si="95"/>
        <v>1.2568236128844719E-6</v>
      </c>
      <c r="AU147" s="48">
        <f t="shared" si="41"/>
        <v>222.57964327721461</v>
      </c>
      <c r="AV147" s="48">
        <f t="shared" si="80"/>
        <v>1096.3310690935491</v>
      </c>
      <c r="AW147" s="140">
        <f t="shared" si="42"/>
        <v>218.44882790772064</v>
      </c>
      <c r="AX147" s="53"/>
      <c r="AZ147" s="50">
        <f t="shared" si="43"/>
        <v>301.2308697260122</v>
      </c>
      <c r="BA147" s="50">
        <f t="shared" si="44"/>
        <v>301.2308697260122</v>
      </c>
      <c r="BB147" s="50">
        <f t="shared" si="81"/>
        <v>395.40122984854565</v>
      </c>
      <c r="BD147" s="50">
        <f t="shared" si="82"/>
        <v>615</v>
      </c>
      <c r="BE147" s="50">
        <f t="shared" si="83"/>
        <v>979</v>
      </c>
      <c r="BF147" s="53">
        <f t="shared" si="84"/>
        <v>1.8542005406925455</v>
      </c>
      <c r="BG147" s="53">
        <f t="shared" si="45"/>
        <v>3.2587375145650798E-4</v>
      </c>
      <c r="BH147" s="53">
        <f t="shared" si="46"/>
        <v>1096.3310690935491</v>
      </c>
      <c r="BI147" s="127">
        <f t="shared" si="47"/>
        <v>218.44882790772064</v>
      </c>
      <c r="BK147" s="44">
        <f t="shared" si="94"/>
        <v>615</v>
      </c>
      <c r="BL147" s="45">
        <f t="shared" si="57"/>
        <v>979</v>
      </c>
      <c r="BM147" s="119" cm="1">
        <f t="array" ref="BM147">IF(($AG$51=0),0,
_xlfn.IFS(BK147&lt;=$BL$102,($AG$53*(1-(BK147/$BL$102))),AND(BK147&gt;$BL$102,BK147&lt;($AG$55+$BL$102)),0,BK147&gt;=($AG$55+$BL$102),($AG$53*((BK147-($AG$55+$BL$102))/$BL$102)))-$AG$54)</f>
        <v>0</v>
      </c>
      <c r="BN147" s="119" cm="1">
        <f t="array" ref="BN147">IF(($AG$51=0),0,
_xlfn.IFS(BK147&lt;=$BL$102,($BL$103*(1-(BK147/$BL$102))),AND(BK147&gt;$BL$102,BK147&lt;($AG$55+$BL$102)),0,BK147&gt;=($AG$55+$BL$102),($BL$103*((BK147-($AG$55+$BL$102))/$BL$102))))</f>
        <v>0</v>
      </c>
      <c r="BO147" s="120">
        <f t="shared" si="85"/>
        <v>0</v>
      </c>
      <c r="BP147" s="121">
        <f t="shared" si="86"/>
        <v>0</v>
      </c>
      <c r="BQ147" s="121">
        <f t="shared" si="58"/>
        <v>0</v>
      </c>
      <c r="BR147" s="48">
        <f t="shared" si="87"/>
        <v>0</v>
      </c>
      <c r="BS147" s="48">
        <f t="shared" si="88"/>
        <v>979</v>
      </c>
      <c r="BU147" s="122"/>
      <c r="BW147" s="50">
        <f t="shared" si="64"/>
        <v>615</v>
      </c>
      <c r="BX147" s="50">
        <f t="shared" si="65"/>
        <v>979</v>
      </c>
      <c r="BY147" s="53">
        <f t="shared" si="66"/>
        <v>0</v>
      </c>
      <c r="BZ147" s="53">
        <f t="shared" si="67"/>
        <v>0</v>
      </c>
      <c r="CA147" s="53">
        <f t="shared" si="68"/>
        <v>979</v>
      </c>
      <c r="CC147" s="126">
        <f t="shared" si="54"/>
        <v>1096.3310690935491</v>
      </c>
      <c r="CD147" s="127">
        <f t="shared" si="89"/>
        <v>8.6196590303814862</v>
      </c>
    </row>
    <row r="148" spans="2:82" x14ac:dyDescent="0.35">
      <c r="B148" s="50" t="b">
        <f t="shared" si="22"/>
        <v>1</v>
      </c>
      <c r="C148" s="21">
        <f t="shared" si="90"/>
        <v>83.533333333333346</v>
      </c>
      <c r="D148" s="13">
        <f t="shared" si="91"/>
        <v>2.6064346159996501</v>
      </c>
      <c r="E148" s="143">
        <f t="shared" si="25"/>
        <v>187.10567667391513</v>
      </c>
      <c r="F148" s="52">
        <f t="shared" si="92"/>
        <v>1.6715300863860798</v>
      </c>
      <c r="G148" s="50">
        <f t="shared" si="27"/>
        <v>119.99256224354767</v>
      </c>
      <c r="H148" s="50">
        <f t="shared" si="74"/>
        <v>307.09823891746282</v>
      </c>
      <c r="I148" s="16">
        <f t="shared" si="28"/>
        <v>9.6157522409548584</v>
      </c>
      <c r="J148" s="22">
        <f t="shared" si="29"/>
        <v>4.3577921386615634E-2</v>
      </c>
      <c r="K148" s="15">
        <f t="shared" si="59"/>
        <v>575.93489402632611</v>
      </c>
      <c r="L148" s="15">
        <f t="shared" si="75"/>
        <v>389.01377509376977</v>
      </c>
      <c r="M148" s="17">
        <f t="shared" si="30"/>
        <v>0.78942767217803111</v>
      </c>
      <c r="N148" s="15">
        <f t="shared" si="31"/>
        <v>319.19752666165596</v>
      </c>
      <c r="O148" s="17">
        <f t="shared" si="32"/>
        <v>0.82053013825722509</v>
      </c>
      <c r="P148" s="15">
        <f t="shared" si="33"/>
        <v>0</v>
      </c>
      <c r="Q148" s="7">
        <f t="shared" si="34"/>
        <v>0</v>
      </c>
      <c r="R148" s="17">
        <f t="shared" si="76"/>
        <v>0.82053013825722509</v>
      </c>
      <c r="S148" s="17">
        <f t="shared" si="35"/>
        <v>0.56907735395259162</v>
      </c>
      <c r="T148" s="162">
        <f t="shared" si="36"/>
        <v>2013.5950264163669</v>
      </c>
      <c r="U148" s="162">
        <f>ABS($L148-$L149)*IF($B148,FORECAST($L148,
INDEX($Z$119:$AJ$119,MATCH($L148,$Z$105:$AJ$105,1)):INDEX($Z$119:$AJ$119,MATCH($L148,$Z$105:$AJ$105,1)+1),
INDEX($Z$105:$AJ$105,MATCH($L148,$Z$105:$AJ$105,1)):INDEX($Z$105:$AJ$105,MATCH($L148,$Z$105:$AJ$105,1)+1)),0)</f>
        <v>0</v>
      </c>
      <c r="V148" s="162">
        <f>ABS($L148-$L149)*IF($B148,FORECAST($L148,
INDEX($Z$120:$AJ$120,MATCH($L148,$Z$105:$AJ$105,1)):INDEX($Z$120:$AJ$120,MATCH($L148,$Z$105:$AJ$105,1)+1),
INDEX($Z$105:$AJ$105,MATCH($L148,$Z$105:$AJ$105,1)):INDEX($Z$105:$AJ$105,MATCH($L148,$Z$105:$AJ$105,1)+1)),0)</f>
        <v>2116.5190665082901</v>
      </c>
      <c r="W148" s="162">
        <f>ABS($L148-$L149)*IF($B148,FORECAST($L148,
INDEX($Z$121:$AJ$121,MATCH($L148,$Z$105:$AJ$105,1)):INDEX($Z$121:$AJ$121,MATCH($L148,$Z$105:$AJ$105,1)+1),
INDEX($Z$105:$AJ$105,MATCH($L148,$Z$105:$AJ$105,1)):INDEX($Z$105:$AJ$105,MATCH($L148,$Z$105:$AJ$105,1)+1)),0)</f>
        <v>2311.7687261403121</v>
      </c>
      <c r="X148" s="162">
        <f>ABS($L148-$L149)*IF($B148,FORECAST($L148,
INDEX($Z$122:$AJ$122,MATCH($L148,$Z$105:$AJ$105,1)):INDEX($Z$122:$AJ$122,MATCH($L148,$Z$105:$AJ$105,1)+1),
INDEX($Z$105:$AJ$105,MATCH($L148,$Z$105:$AJ$105,1)):INDEX($Z$105:$AJ$105,MATCH($L148,$Z$105:$AJ$105,1)+1)),0)</f>
        <v>1877.8542167329069</v>
      </c>
      <c r="AM148" s="44">
        <f t="shared" si="93"/>
        <v>630</v>
      </c>
      <c r="AN148" s="45">
        <f t="shared" si="55"/>
        <v>979</v>
      </c>
      <c r="AO148" s="54">
        <f t="shared" si="77"/>
        <v>0.94240021712903399</v>
      </c>
      <c r="AP148" s="54">
        <f t="shared" si="78"/>
        <v>0.94240021712903399</v>
      </c>
      <c r="AQ148" s="54">
        <f t="shared" si="73"/>
        <v>1.884800434258068</v>
      </c>
      <c r="AR148" s="46">
        <f t="shared" si="79"/>
        <v>5.888379224427176</v>
      </c>
      <c r="AS148" s="47">
        <f t="shared" si="40"/>
        <v>3.3125164985073574E-4</v>
      </c>
      <c r="AT148" s="47">
        <f t="shared" si="95"/>
        <v>1.256823148879895E-6</v>
      </c>
      <c r="AU148" s="48">
        <f t="shared" si="41"/>
        <v>226.23876502893847</v>
      </c>
      <c r="AV148" s="48">
        <f t="shared" si="80"/>
        <v>1099.990190845273</v>
      </c>
      <c r="AW148" s="140">
        <f t="shared" si="42"/>
        <v>225.31145568105762</v>
      </c>
      <c r="AX148" s="53"/>
      <c r="AZ148" s="50">
        <f t="shared" si="43"/>
        <v>307.09823891746282</v>
      </c>
      <c r="BA148" s="50">
        <f t="shared" si="44"/>
        <v>307.09823891746282</v>
      </c>
      <c r="BB148" s="50">
        <f t="shared" si="81"/>
        <v>389.01377509376977</v>
      </c>
      <c r="BD148" s="50">
        <f t="shared" si="82"/>
        <v>630</v>
      </c>
      <c r="BE148" s="50">
        <f t="shared" si="83"/>
        <v>979</v>
      </c>
      <c r="BF148" s="53">
        <f t="shared" si="84"/>
        <v>1.884800434258068</v>
      </c>
      <c r="BG148" s="53">
        <f t="shared" si="45"/>
        <v>3.3125164985073574E-4</v>
      </c>
      <c r="BH148" s="53">
        <f t="shared" si="46"/>
        <v>1099.990190845273</v>
      </c>
      <c r="BI148" s="127">
        <f t="shared" si="47"/>
        <v>225.31145568105762</v>
      </c>
      <c r="BK148" s="44">
        <f t="shared" si="94"/>
        <v>630</v>
      </c>
      <c r="BL148" s="45">
        <f t="shared" si="57"/>
        <v>979</v>
      </c>
      <c r="BM148" s="119" cm="1">
        <f t="array" ref="BM148">IF(($AG$51=0),0,
_xlfn.IFS(BK148&lt;=$BL$102,($AG$53*(1-(BK148/$BL$102))),AND(BK148&gt;$BL$102,BK148&lt;($AG$55+$BL$102)),0,BK148&gt;=($AG$55+$BL$102),($AG$53*((BK148-($AG$55+$BL$102))/$BL$102)))-$AG$54)</f>
        <v>0</v>
      </c>
      <c r="BN148" s="119" cm="1">
        <f t="array" ref="BN148">IF(($AG$51=0),0,
_xlfn.IFS(BK148&lt;=$BL$102,($BL$103*(1-(BK148/$BL$102))),AND(BK148&gt;$BL$102,BK148&lt;($AG$55+$BL$102)),0,BK148&gt;=($AG$55+$BL$102),($BL$103*((BK148-($AG$55+$BL$102))/$BL$102))))</f>
        <v>0</v>
      </c>
      <c r="BO148" s="120">
        <f t="shared" si="85"/>
        <v>0</v>
      </c>
      <c r="BP148" s="121">
        <f t="shared" si="86"/>
        <v>0</v>
      </c>
      <c r="BQ148" s="121">
        <f t="shared" si="58"/>
        <v>0</v>
      </c>
      <c r="BR148" s="48">
        <f t="shared" si="87"/>
        <v>0</v>
      </c>
      <c r="BS148" s="48">
        <f t="shared" si="88"/>
        <v>979</v>
      </c>
      <c r="BU148" s="122"/>
      <c r="BW148" s="50">
        <f t="shared" si="64"/>
        <v>630</v>
      </c>
      <c r="BX148" s="50">
        <f t="shared" si="65"/>
        <v>979</v>
      </c>
      <c r="BY148" s="53">
        <f t="shared" si="66"/>
        <v>0</v>
      </c>
      <c r="BZ148" s="53">
        <f t="shared" si="67"/>
        <v>0</v>
      </c>
      <c r="CA148" s="53">
        <f t="shared" si="68"/>
        <v>979</v>
      </c>
      <c r="CC148" s="126">
        <f t="shared" si="54"/>
        <v>1099.990190845273</v>
      </c>
      <c r="CD148" s="127">
        <f t="shared" si="89"/>
        <v>8.5909857002799921</v>
      </c>
    </row>
    <row r="149" spans="2:82" x14ac:dyDescent="0.35">
      <c r="B149" s="50" t="b">
        <f t="shared" si="22"/>
        <v>1</v>
      </c>
      <c r="C149" s="21">
        <f t="shared" si="90"/>
        <v>85.52222222222224</v>
      </c>
      <c r="D149" s="13">
        <f t="shared" si="91"/>
        <v>2.6500125373862655</v>
      </c>
      <c r="E149" s="143">
        <f t="shared" si="25"/>
        <v>190.2339640359053</v>
      </c>
      <c r="F149" s="52">
        <f t="shared" si="92"/>
        <v>1.7104028790927328</v>
      </c>
      <c r="G149" s="50">
        <f t="shared" si="27"/>
        <v>122.78308694688599</v>
      </c>
      <c r="H149" s="50">
        <f t="shared" si="74"/>
        <v>313.01705098279126</v>
      </c>
      <c r="I149" s="16">
        <f t="shared" si="28"/>
        <v>9.7765214743963007</v>
      </c>
      <c r="J149" s="22">
        <f t="shared" si="29"/>
        <v>4.4306516387894686E-2</v>
      </c>
      <c r="K149" s="15">
        <f t="shared" si="59"/>
        <v>566.32014178537122</v>
      </c>
      <c r="L149" s="15">
        <f t="shared" si="75"/>
        <v>382.51951488373606</v>
      </c>
      <c r="M149" s="17">
        <f t="shared" si="30"/>
        <v>0.81830348205353765</v>
      </c>
      <c r="N149" s="15">
        <f t="shared" si="31"/>
        <v>317.66033484759487</v>
      </c>
      <c r="O149" s="17">
        <f t="shared" si="32"/>
        <v>0.830442166967992</v>
      </c>
      <c r="P149" s="15">
        <f t="shared" si="33"/>
        <v>0</v>
      </c>
      <c r="Q149" s="7">
        <f t="shared" si="34"/>
        <v>0</v>
      </c>
      <c r="R149" s="17">
        <f t="shared" si="76"/>
        <v>0.830442166967992</v>
      </c>
      <c r="S149" s="17">
        <f t="shared" si="35"/>
        <v>0.57595182547780099</v>
      </c>
      <c r="T149" s="162">
        <f t="shared" si="36"/>
        <v>2076.5464897261381</v>
      </c>
      <c r="U149" s="162">
        <f>ABS($L149-$L150)*IF($B149,FORECAST($L149,
INDEX($Z$119:$AJ$119,MATCH($L149,$Z$105:$AJ$105,1)):INDEX($Z$119:$AJ$119,MATCH($L149,$Z$105:$AJ$105,1)+1),
INDEX($Z$105:$AJ$105,MATCH($L149,$Z$105:$AJ$105,1)):INDEX($Z$105:$AJ$105,MATCH($L149,$Z$105:$AJ$105,1)+1)),0)</f>
        <v>0</v>
      </c>
      <c r="V149" s="162">
        <f>ABS($L149-$L150)*IF($B149,FORECAST($L149,
INDEX($Z$120:$AJ$120,MATCH($L149,$Z$105:$AJ$105,1)):INDEX($Z$120:$AJ$120,MATCH($L149,$Z$105:$AJ$105,1)+1),
INDEX($Z$105:$AJ$105,MATCH($L149,$Z$105:$AJ$105,1)):INDEX($Z$105:$AJ$105,MATCH($L149,$Z$105:$AJ$105,1)+1)),0)</f>
        <v>2158.7546394614928</v>
      </c>
      <c r="W149" s="162">
        <f>ABS($L149-$L150)*IF($B149,FORECAST($L149,
INDEX($Z$121:$AJ$121,MATCH($L149,$Z$105:$AJ$105,1)):INDEX($Z$121:$AJ$121,MATCH($L149,$Z$105:$AJ$105,1)+1),
INDEX($Z$105:$AJ$105,MATCH($L149,$Z$105:$AJ$105,1)):INDEX($Z$105:$AJ$105,MATCH($L149,$Z$105:$AJ$105,1)+1)),0)</f>
        <v>2347.9951548189488</v>
      </c>
      <c r="X149" s="162">
        <f>ABS($L149-$L150)*IF($B149,FORECAST($L149,
INDEX($Z$122:$AJ$122,MATCH($L149,$Z$105:$AJ$105,1)):INDEX($Z$122:$AJ$122,MATCH($L149,$Z$105:$AJ$105,1)+1),
INDEX($Z$105:$AJ$105,MATCH($L149,$Z$105:$AJ$105,1)):INDEX($Z$105:$AJ$105,MATCH($L149,$Z$105:$AJ$105,1)+1)),0)</f>
        <v>1917.3686965104785</v>
      </c>
      <c r="AM149" s="44">
        <f t="shared" si="93"/>
        <v>645</v>
      </c>
      <c r="AN149" s="45">
        <f t="shared" si="55"/>
        <v>979</v>
      </c>
      <c r="AO149" s="54">
        <f t="shared" si="77"/>
        <v>0.95590016861387994</v>
      </c>
      <c r="AP149" s="54">
        <f t="shared" si="78"/>
        <v>0.95590016861387994</v>
      </c>
      <c r="AQ149" s="54">
        <f t="shared" si="73"/>
        <v>1.9118003372277599</v>
      </c>
      <c r="AR149" s="46">
        <f t="shared" si="79"/>
        <v>5.972730684039858</v>
      </c>
      <c r="AS149" s="47">
        <f t="shared" si="40"/>
        <v>3.359968537683276E-4</v>
      </c>
      <c r="AT149" s="47">
        <f t="shared" si="95"/>
        <v>1.2568227356787465E-6</v>
      </c>
      <c r="AU149" s="48">
        <f t="shared" si="41"/>
        <v>229.46740149332589</v>
      </c>
      <c r="AV149" s="48">
        <f t="shared" si="80"/>
        <v>1103.2188273096604</v>
      </c>
      <c r="AW149" s="140">
        <f t="shared" si="42"/>
        <v>231.36671478189263</v>
      </c>
      <c r="AX149" s="53"/>
      <c r="AZ149" s="50">
        <f t="shared" si="43"/>
        <v>313.01705098279126</v>
      </c>
      <c r="BA149" s="50">
        <f t="shared" si="44"/>
        <v>313.01705098279126</v>
      </c>
      <c r="BB149" s="50">
        <f t="shared" si="81"/>
        <v>382.51951488373606</v>
      </c>
      <c r="BD149" s="50">
        <f t="shared" si="82"/>
        <v>645</v>
      </c>
      <c r="BE149" s="50">
        <f t="shared" si="83"/>
        <v>979</v>
      </c>
      <c r="BF149" s="53">
        <f t="shared" si="84"/>
        <v>1.9118003372277599</v>
      </c>
      <c r="BG149" s="53">
        <f t="shared" si="45"/>
        <v>3.359968537683276E-4</v>
      </c>
      <c r="BH149" s="53">
        <f t="shared" si="46"/>
        <v>1103.2188273096604</v>
      </c>
      <c r="BI149" s="127">
        <f t="shared" si="47"/>
        <v>231.36671478189263</v>
      </c>
      <c r="BK149" s="44">
        <f t="shared" si="94"/>
        <v>645</v>
      </c>
      <c r="BL149" s="45">
        <f t="shared" si="57"/>
        <v>979</v>
      </c>
      <c r="BM149" s="119" cm="1">
        <f t="array" ref="BM149">IF(($AG$51=0),0,
_xlfn.IFS(BK149&lt;=$BL$102,($AG$53*(1-(BK149/$BL$102))),AND(BK149&gt;$BL$102,BK149&lt;($AG$55+$BL$102)),0,BK149&gt;=($AG$55+$BL$102),($AG$53*((BK149-($AG$55+$BL$102))/$BL$102)))-$AG$54)</f>
        <v>0</v>
      </c>
      <c r="BN149" s="119" cm="1">
        <f t="array" ref="BN149">IF(($AG$51=0),0,
_xlfn.IFS(BK149&lt;=$BL$102,($BL$103*(1-(BK149/$BL$102))),AND(BK149&gt;$BL$102,BK149&lt;($AG$55+$BL$102)),0,BK149&gt;=($AG$55+$BL$102),($BL$103*((BK149-($AG$55+$BL$102))/$BL$102))))</f>
        <v>0</v>
      </c>
      <c r="BO149" s="120">
        <f t="shared" si="85"/>
        <v>0</v>
      </c>
      <c r="BP149" s="121">
        <f t="shared" si="86"/>
        <v>0</v>
      </c>
      <c r="BQ149" s="121">
        <f t="shared" si="58"/>
        <v>0</v>
      </c>
      <c r="BR149" s="48">
        <f t="shared" si="87"/>
        <v>0</v>
      </c>
      <c r="BS149" s="48">
        <f t="shared" si="88"/>
        <v>979</v>
      </c>
      <c r="BU149" s="122"/>
      <c r="BW149" s="50">
        <f t="shared" si="64"/>
        <v>645</v>
      </c>
      <c r="BX149" s="50">
        <f t="shared" si="65"/>
        <v>979</v>
      </c>
      <c r="BY149" s="53">
        <f t="shared" si="66"/>
        <v>0</v>
      </c>
      <c r="BZ149" s="53">
        <f t="shared" si="67"/>
        <v>0</v>
      </c>
      <c r="CA149" s="53">
        <f t="shared" si="68"/>
        <v>979</v>
      </c>
      <c r="CC149" s="126">
        <f t="shared" si="54"/>
        <v>1103.2188273096604</v>
      </c>
      <c r="CD149" s="127">
        <f t="shared" si="89"/>
        <v>8.5658436622632959</v>
      </c>
    </row>
    <row r="150" spans="2:82" x14ac:dyDescent="0.35">
      <c r="B150" s="50" t="b">
        <f t="shared" si="22"/>
        <v>1</v>
      </c>
      <c r="C150" s="21">
        <f t="shared" si="90"/>
        <v>87.511111111111134</v>
      </c>
      <c r="D150" s="13">
        <f t="shared" si="91"/>
        <v>2.6943190537741604</v>
      </c>
      <c r="E150" s="143">
        <f t="shared" si="25"/>
        <v>190.39411042317792</v>
      </c>
      <c r="F150" s="52">
        <f t="shared" si="92"/>
        <v>1.7492756717993858</v>
      </c>
      <c r="G150" s="50">
        <f t="shared" si="27"/>
        <v>125.57361165022431</v>
      </c>
      <c r="H150" s="50">
        <f t="shared" si="74"/>
        <v>315.96772207340223</v>
      </c>
      <c r="I150" s="16">
        <f t="shared" si="28"/>
        <v>9.7847517323428903</v>
      </c>
      <c r="J150" s="22">
        <f t="shared" si="29"/>
        <v>4.4343815345355392E-2</v>
      </c>
      <c r="K150" s="15">
        <f t="shared" si="59"/>
        <v>556.54462031097489</v>
      </c>
      <c r="L150" s="15">
        <f t="shared" si="75"/>
        <v>375.9166634994765</v>
      </c>
      <c r="M150" s="17">
        <f t="shared" si="30"/>
        <v>0.84052598023189851</v>
      </c>
      <c r="N150" s="15">
        <f t="shared" si="31"/>
        <v>315.96772207340223</v>
      </c>
      <c r="O150" s="17">
        <f t="shared" si="32"/>
        <v>0.84052598023189851</v>
      </c>
      <c r="P150" s="15">
        <f t="shared" si="33"/>
        <v>1</v>
      </c>
      <c r="Q150" s="7">
        <f t="shared" si="34"/>
        <v>8.3216608052008395E-2</v>
      </c>
      <c r="R150" s="17">
        <f t="shared" si="76"/>
        <v>0.84052598023189851</v>
      </c>
      <c r="S150" s="17">
        <f t="shared" si="35"/>
        <v>0.58294543790276832</v>
      </c>
      <c r="T150" s="162">
        <f t="shared" si="36"/>
        <v>2082.0142481331504</v>
      </c>
      <c r="U150" s="162">
        <f>ABS($L150-$L151)*IF($B150,FORECAST($L150,
INDEX($Z$119:$AJ$119,MATCH($L150,$Z$105:$AJ$105,1)):INDEX($Z$119:$AJ$119,MATCH($L150,$Z$105:$AJ$105,1)+1),
INDEX($Z$105:$AJ$105,MATCH($L150,$Z$105:$AJ$105,1)):INDEX($Z$105:$AJ$105,MATCH($L150,$Z$105:$AJ$105,1)+1)),0)</f>
        <v>0</v>
      </c>
      <c r="V150" s="162">
        <f>ABS($L150-$L151)*IF($B150,FORECAST($L150,
INDEX($Z$120:$AJ$120,MATCH($L150,$Z$105:$AJ$105,1)):INDEX($Z$120:$AJ$120,MATCH($L150,$Z$105:$AJ$105,1)+1),
INDEX($Z$105:$AJ$105,MATCH($L150,$Z$105:$AJ$105,1)):INDEX($Z$105:$AJ$105,MATCH($L150,$Z$105:$AJ$105,1)+1)),0)</f>
        <v>2167.5375115358333</v>
      </c>
      <c r="W150" s="162">
        <f>ABS($L150-$L151)*IF($B150,FORECAST($L150,
INDEX($Z$121:$AJ$121,MATCH($L150,$Z$105:$AJ$105,1)):INDEX($Z$121:$AJ$121,MATCH($L150,$Z$105:$AJ$105,1)+1),
INDEX($Z$105:$AJ$105,MATCH($L150,$Z$105:$AJ$105,1)):INDEX($Z$105:$AJ$105,MATCH($L150,$Z$105:$AJ$105,1)+1)),0)</f>
        <v>2347.5004110177438</v>
      </c>
      <c r="X150" s="162">
        <f>ABS($L150-$L151)*IF($B150,FORECAST($L150,
INDEX($Z$122:$AJ$122,MATCH($L150,$Z$105:$AJ$105,1)):INDEX($Z$122:$AJ$122,MATCH($L150,$Z$105:$AJ$105,1)+1),
INDEX($Z$105:$AJ$105,MATCH($L150,$Z$105:$AJ$105,1)):INDEX($Z$105:$AJ$105,MATCH($L150,$Z$105:$AJ$105,1)+1)),0)</f>
        <v>1927.2403020045801</v>
      </c>
      <c r="AM150" s="44">
        <f t="shared" si="93"/>
        <v>660</v>
      </c>
      <c r="AN150" s="45">
        <f t="shared" si="55"/>
        <v>979</v>
      </c>
      <c r="AO150" s="54">
        <f t="shared" si="77"/>
        <v>0.96760012539743911</v>
      </c>
      <c r="AP150" s="54">
        <f t="shared" si="78"/>
        <v>0.96760012539743911</v>
      </c>
      <c r="AQ150" s="54">
        <f t="shared" si="73"/>
        <v>1.9352002507948782</v>
      </c>
      <c r="AR150" s="46">
        <f t="shared" si="79"/>
        <v>6.045835275060524</v>
      </c>
      <c r="AS150" s="47">
        <f t="shared" si="40"/>
        <v>3.4010936341899721E-4</v>
      </c>
      <c r="AT150" s="47">
        <f t="shared" si="95"/>
        <v>1.2568223868286071E-6</v>
      </c>
      <c r="AU150" s="48">
        <f t="shared" si="41"/>
        <v>232.26555282228387</v>
      </c>
      <c r="AV150" s="48">
        <f t="shared" si="80"/>
        <v>1106.0169786386182</v>
      </c>
      <c r="AW150" s="140">
        <f t="shared" si="42"/>
        <v>236.61460547783685</v>
      </c>
      <c r="AX150" s="53"/>
      <c r="AZ150" s="50">
        <f t="shared" si="43"/>
        <v>315.96772207340223</v>
      </c>
      <c r="BA150" s="50">
        <f t="shared" si="44"/>
        <v>315.96772207340223</v>
      </c>
      <c r="BB150" s="50">
        <f t="shared" si="81"/>
        <v>375.9166634994765</v>
      </c>
      <c r="BD150" s="50">
        <f t="shared" si="82"/>
        <v>660</v>
      </c>
      <c r="BE150" s="50">
        <f t="shared" si="83"/>
        <v>979</v>
      </c>
      <c r="BF150" s="53">
        <f t="shared" si="84"/>
        <v>1.9352002507948782</v>
      </c>
      <c r="BG150" s="53">
        <f t="shared" si="45"/>
        <v>3.4010936341899721E-4</v>
      </c>
      <c r="BH150" s="53">
        <f t="shared" si="46"/>
        <v>1106.0169786386182</v>
      </c>
      <c r="BI150" s="127">
        <f t="shared" si="47"/>
        <v>236.61460547783685</v>
      </c>
      <c r="BK150" s="44">
        <f t="shared" si="94"/>
        <v>660</v>
      </c>
      <c r="BL150" s="45">
        <f t="shared" si="57"/>
        <v>979</v>
      </c>
      <c r="BM150" s="119" cm="1">
        <f t="array" ref="BM150">IF(($AG$51=0),0,
_xlfn.IFS(BK150&lt;=$BL$102,($AG$53*(1-(BK150/$BL$102))),AND(BK150&gt;$BL$102,BK150&lt;($AG$55+$BL$102)),0,BK150&gt;=($AG$55+$BL$102),($AG$53*((BK150-($AG$55+$BL$102))/$BL$102)))-$AG$54)</f>
        <v>0</v>
      </c>
      <c r="BN150" s="119" cm="1">
        <f t="array" ref="BN150">IF(($AG$51=0),0,
_xlfn.IFS(BK150&lt;=$BL$102,($BL$103*(1-(BK150/$BL$102))),AND(BK150&gt;$BL$102,BK150&lt;($AG$55+$BL$102)),0,BK150&gt;=($AG$55+$BL$102),($BL$103*((BK150-($AG$55+$BL$102))/$BL$102))))</f>
        <v>0</v>
      </c>
      <c r="BO150" s="120">
        <f t="shared" si="85"/>
        <v>0</v>
      </c>
      <c r="BP150" s="121">
        <f t="shared" si="86"/>
        <v>0</v>
      </c>
      <c r="BQ150" s="121">
        <f t="shared" si="58"/>
        <v>0</v>
      </c>
      <c r="BR150" s="48">
        <f t="shared" si="87"/>
        <v>0</v>
      </c>
      <c r="BS150" s="48">
        <f t="shared" si="88"/>
        <v>979</v>
      </c>
      <c r="BU150" s="122"/>
      <c r="BW150" s="50">
        <f t="shared" si="64"/>
        <v>660</v>
      </c>
      <c r="BX150" s="50">
        <f t="shared" si="65"/>
        <v>979</v>
      </c>
      <c r="BY150" s="53">
        <f t="shared" si="66"/>
        <v>0</v>
      </c>
      <c r="BZ150" s="53">
        <f t="shared" si="67"/>
        <v>0</v>
      </c>
      <c r="CA150" s="53">
        <f t="shared" si="68"/>
        <v>979</v>
      </c>
      <c r="CC150" s="126">
        <f t="shared" si="54"/>
        <v>1106.0169786386182</v>
      </c>
      <c r="CD150" s="127">
        <f t="shared" si="89"/>
        <v>8.5441726325321703</v>
      </c>
    </row>
    <row r="151" spans="2:82" x14ac:dyDescent="0.35">
      <c r="B151" s="50" t="b">
        <f t="shared" si="22"/>
        <v>1</v>
      </c>
      <c r="C151" s="21">
        <f t="shared" si="90"/>
        <v>89.500000000000028</v>
      </c>
      <c r="D151" s="13">
        <f t="shared" si="91"/>
        <v>2.7386628691195156</v>
      </c>
      <c r="E151" s="143">
        <f t="shared" si="25"/>
        <v>185.77858972991362</v>
      </c>
      <c r="F151" s="52">
        <f t="shared" si="92"/>
        <v>1.7881484645060388</v>
      </c>
      <c r="G151" s="50">
        <f t="shared" si="27"/>
        <v>128.36413635356263</v>
      </c>
      <c r="H151" s="50">
        <f t="shared" si="74"/>
        <v>314.14272608347625</v>
      </c>
      <c r="I151" s="16">
        <f t="shared" si="28"/>
        <v>9.5475504659869923</v>
      </c>
      <c r="J151" s="22">
        <f t="shared" si="29"/>
        <v>4.3268835678758187E-2</v>
      </c>
      <c r="K151" s="15">
        <f t="shared" si="59"/>
        <v>546.76086857863197</v>
      </c>
      <c r="L151" s="15">
        <f t="shared" si="75"/>
        <v>369.30825300819453</v>
      </c>
      <c r="M151" s="17">
        <f t="shared" si="30"/>
        <v>0.85062471126662254</v>
      </c>
      <c r="N151" s="15">
        <f t="shared" si="31"/>
        <v>314.14272608347625</v>
      </c>
      <c r="O151" s="17">
        <f t="shared" si="32"/>
        <v>0.85062471126662254</v>
      </c>
      <c r="P151" s="15">
        <f t="shared" si="33"/>
        <v>1</v>
      </c>
      <c r="Q151" s="7">
        <f t="shared" si="34"/>
        <v>8.2141628385411197E-2</v>
      </c>
      <c r="R151" s="17">
        <f t="shared" si="76"/>
        <v>0.85062471126662254</v>
      </c>
      <c r="S151" s="17">
        <f t="shared" si="35"/>
        <v>0.58994939652362532</v>
      </c>
      <c r="T151" s="162">
        <f t="shared" si="36"/>
        <v>2019.5046093456549</v>
      </c>
      <c r="U151" s="162">
        <f>ABS($L151-$L152)*IF($B151,FORECAST($L151,
INDEX($Z$119:$AJ$119,MATCH($L151,$Z$105:$AJ$105,1)):INDEX($Z$119:$AJ$119,MATCH($L151,$Z$105:$AJ$105,1)+1),
INDEX($Z$105:$AJ$105,MATCH($L151,$Z$105:$AJ$105,1)):INDEX($Z$105:$AJ$105,MATCH($L151,$Z$105:$AJ$105,1)+1)),0)</f>
        <v>0</v>
      </c>
      <c r="V151" s="162">
        <f>ABS($L151-$L152)*IF($B151,FORECAST($L151,
INDEX($Z$120:$AJ$120,MATCH($L151,$Z$105:$AJ$105,1)):INDEX($Z$120:$AJ$120,MATCH($L151,$Z$105:$AJ$105,1)+1),
INDEX($Z$105:$AJ$105,MATCH($L151,$Z$105:$AJ$105,1)):INDEX($Z$105:$AJ$105,MATCH($L151,$Z$105:$AJ$105,1)+1)),0)</f>
        <v>2121.7890614695584</v>
      </c>
      <c r="W151" s="162">
        <f>ABS($L151-$L152)*IF($B151,FORECAST($L151,
INDEX($Z$121:$AJ$121,MATCH($L151,$Z$105:$AJ$105,1)):INDEX($Z$121:$AJ$121,MATCH($L151,$Z$105:$AJ$105,1)+1),
INDEX($Z$105:$AJ$105,MATCH($L151,$Z$105:$AJ$105,1)):INDEX($Z$105:$AJ$105,MATCH($L151,$Z$105:$AJ$105,1)+1)),0)</f>
        <v>2288.1729653028556</v>
      </c>
      <c r="X151" s="162">
        <f>ABS($L151-$L152)*IF($B151,FORECAST($L151,
INDEX($Z$122:$AJ$122,MATCH($L151,$Z$105:$AJ$105,1)):INDEX($Z$122:$AJ$122,MATCH($L151,$Z$105:$AJ$105,1)+1),
INDEX($Z$105:$AJ$105,MATCH($L151,$Z$105:$AJ$105,1)):INDEX($Z$105:$AJ$105,MATCH($L151,$Z$105:$AJ$105,1)+1)),0)</f>
        <v>1888.5794163006692</v>
      </c>
      <c r="AM151" s="44">
        <f t="shared" si="93"/>
        <v>675</v>
      </c>
      <c r="AN151" s="45">
        <f t="shared" si="55"/>
        <v>979</v>
      </c>
      <c r="AO151" s="54">
        <f t="shared" si="77"/>
        <v>0.97750008797447663</v>
      </c>
      <c r="AP151" s="54">
        <f t="shared" si="78"/>
        <v>0.97750008797447663</v>
      </c>
      <c r="AQ151" s="54">
        <f t="shared" si="73"/>
        <v>1.9550001759489533</v>
      </c>
      <c r="AR151" s="46">
        <f t="shared" si="79"/>
        <v>6.1076930005806069</v>
      </c>
      <c r="AS151" s="47">
        <f t="shared" si="40"/>
        <v>3.4358917897665342E-4</v>
      </c>
      <c r="AT151" s="47">
        <f t="shared" si="95"/>
        <v>1.25682209047528E-6</v>
      </c>
      <c r="AU151" s="48">
        <f t="shared" si="41"/>
        <v>234.63321912607438</v>
      </c>
      <c r="AV151" s="48">
        <f t="shared" si="80"/>
        <v>1108.3846449424091</v>
      </c>
      <c r="AW151" s="140">
        <f t="shared" si="42"/>
        <v>241.05512799081211</v>
      </c>
      <c r="AX151" s="53"/>
      <c r="AZ151" s="50">
        <f t="shared" si="43"/>
        <v>314.14272608347625</v>
      </c>
      <c r="BA151" s="50">
        <f t="shared" si="44"/>
        <v>314.14272608347625</v>
      </c>
      <c r="BB151" s="50">
        <f t="shared" si="81"/>
        <v>369.30825300819453</v>
      </c>
      <c r="BD151" s="50">
        <f t="shared" si="82"/>
        <v>675</v>
      </c>
      <c r="BE151" s="50">
        <f t="shared" si="83"/>
        <v>979</v>
      </c>
      <c r="BF151" s="53">
        <f t="shared" si="84"/>
        <v>1.9550001759489533</v>
      </c>
      <c r="BG151" s="53">
        <f t="shared" si="45"/>
        <v>3.4358917897665342E-4</v>
      </c>
      <c r="BH151" s="53">
        <f t="shared" si="46"/>
        <v>1108.3846449424091</v>
      </c>
      <c r="BI151" s="127">
        <f t="shared" si="47"/>
        <v>241.05512799081211</v>
      </c>
      <c r="BK151" s="44">
        <f t="shared" si="94"/>
        <v>675</v>
      </c>
      <c r="BL151" s="45">
        <f t="shared" si="57"/>
        <v>979</v>
      </c>
      <c r="BM151" s="119" cm="1">
        <f t="array" ref="BM151">IF(($AG$51=0),0,
_xlfn.IFS(BK151&lt;=$BL$102,($AG$53*(1-(BK151/$BL$102))),AND(BK151&gt;$BL$102,BK151&lt;($AG$55+$BL$102)),0,BK151&gt;=($AG$55+$BL$102),($AG$53*((BK151-($AG$55+$BL$102))/$BL$102)))-$AG$54)</f>
        <v>0</v>
      </c>
      <c r="BN151" s="119" cm="1">
        <f t="array" ref="BN151">IF(($AG$51=0),0,
_xlfn.IFS(BK151&lt;=$BL$102,($BL$103*(1-(BK151/$BL$102))),AND(BK151&gt;$BL$102,BK151&lt;($AG$55+$BL$102)),0,BK151&gt;=($AG$55+$BL$102),($BL$103*((BK151-($AG$55+$BL$102))/$BL$102))))</f>
        <v>0</v>
      </c>
      <c r="BO151" s="120">
        <f t="shared" si="85"/>
        <v>0</v>
      </c>
      <c r="BP151" s="121">
        <f t="shared" si="86"/>
        <v>0</v>
      </c>
      <c r="BQ151" s="121">
        <f t="shared" si="58"/>
        <v>0</v>
      </c>
      <c r="BR151" s="48">
        <f t="shared" si="87"/>
        <v>0</v>
      </c>
      <c r="BS151" s="48">
        <f t="shared" si="88"/>
        <v>979</v>
      </c>
      <c r="BU151" s="122"/>
      <c r="BW151" s="50">
        <f t="shared" si="64"/>
        <v>675</v>
      </c>
      <c r="BX151" s="50">
        <f t="shared" si="65"/>
        <v>979</v>
      </c>
      <c r="BY151" s="53">
        <f t="shared" si="66"/>
        <v>0</v>
      </c>
      <c r="BZ151" s="53">
        <f t="shared" si="67"/>
        <v>0</v>
      </c>
      <c r="CA151" s="53">
        <f t="shared" si="68"/>
        <v>979</v>
      </c>
      <c r="CC151" s="126">
        <f t="shared" si="54"/>
        <v>1108.3846449424091</v>
      </c>
      <c r="CD151" s="127">
        <f t="shared" si="89"/>
        <v>8.5259210718234151</v>
      </c>
    </row>
    <row r="152" spans="2:82" x14ac:dyDescent="0.35">
      <c r="B152" s="50" t="b">
        <f t="shared" si="22"/>
        <v>1</v>
      </c>
      <c r="C152" s="21">
        <f t="shared" si="90"/>
        <v>91.488888888888923</v>
      </c>
      <c r="D152" s="13">
        <f t="shared" si="91"/>
        <v>2.7819317047982737</v>
      </c>
      <c r="E152" s="143">
        <f t="shared" si="25"/>
        <v>181.08102772030682</v>
      </c>
      <c r="F152" s="52">
        <f t="shared" si="92"/>
        <v>1.8270212572126918</v>
      </c>
      <c r="G152" s="50">
        <f t="shared" si="27"/>
        <v>131.15466105690095</v>
      </c>
      <c r="H152" s="50">
        <f t="shared" si="74"/>
        <v>312.23568877720777</v>
      </c>
      <c r="I152" s="16">
        <f t="shared" si="28"/>
        <v>9.3061329247136531</v>
      </c>
      <c r="J152" s="22">
        <f t="shared" si="29"/>
        <v>4.2174748147035875E-2</v>
      </c>
      <c r="K152" s="15">
        <f t="shared" si="59"/>
        <v>537.21431811264495</v>
      </c>
      <c r="L152" s="15">
        <f t="shared" si="75"/>
        <v>362.86005951546434</v>
      </c>
      <c r="M152" s="17">
        <f t="shared" si="30"/>
        <v>0.86048513907577351</v>
      </c>
      <c r="N152" s="15">
        <f t="shared" si="31"/>
        <v>312.23568877720777</v>
      </c>
      <c r="O152" s="17">
        <f t="shared" si="32"/>
        <v>0.86048513907577351</v>
      </c>
      <c r="P152" s="15">
        <f t="shared" si="33"/>
        <v>1</v>
      </c>
      <c r="Q152" s="7">
        <f t="shared" si="34"/>
        <v>8.1047540853688871E-2</v>
      </c>
      <c r="R152" s="17">
        <f t="shared" si="76"/>
        <v>0.86048513907577351</v>
      </c>
      <c r="S152" s="17">
        <f t="shared" si="35"/>
        <v>0.59678808032674624</v>
      </c>
      <c r="T152" s="162">
        <f t="shared" si="36"/>
        <v>1956.22277853536</v>
      </c>
      <c r="U152" s="162">
        <f>ABS($L152-$L153)*IF($B152,FORECAST($L152,
INDEX($Z$119:$AJ$119,MATCH($L152,$Z$105:$AJ$105,1)):INDEX($Z$119:$AJ$119,MATCH($L152,$Z$105:$AJ$105,1)+1),
INDEX($Z$105:$AJ$105,MATCH($L152,$Z$105:$AJ$105,1)):INDEX($Z$105:$AJ$105,MATCH($L152,$Z$105:$AJ$105,1)+1)),0)</f>
        <v>0</v>
      </c>
      <c r="V152" s="162">
        <f>ABS($L152-$L153)*IF($B152,FORECAST($L152,
INDEX($Z$120:$AJ$120,MATCH($L152,$Z$105:$AJ$105,1)):INDEX($Z$120:$AJ$120,MATCH($L152,$Z$105:$AJ$105,1)+1),
INDEX($Z$105:$AJ$105,MATCH($L152,$Z$105:$AJ$105,1)):INDEX($Z$105:$AJ$105,MATCH($L152,$Z$105:$AJ$105,1)+1)),0)</f>
        <v>2074.6017382656819</v>
      </c>
      <c r="W152" s="162">
        <f>ABS($L152-$L153)*IF($B152,FORECAST($L152,
INDEX($Z$121:$AJ$121,MATCH($L152,$Z$105:$AJ$105,1)):INDEX($Z$121:$AJ$121,MATCH($L152,$Z$105:$AJ$105,1)+1),
INDEX($Z$105:$AJ$105,MATCH($L152,$Z$105:$AJ$105,1)):INDEX($Z$105:$AJ$105,MATCH($L152,$Z$105:$AJ$105,1)+1)),0)</f>
        <v>2228.0129877092299</v>
      </c>
      <c r="X152" s="162">
        <f>ABS($L152-$L153)*IF($B152,FORECAST($L152,
INDEX($Z$122:$AJ$122,MATCH($L152,$Z$105:$AJ$105,1)):INDEX($Z$122:$AJ$122,MATCH($L152,$Z$105:$AJ$105,1)+1),
INDEX($Z$105:$AJ$105,MATCH($L152,$Z$105:$AJ$105,1)):INDEX($Z$105:$AJ$105,MATCH($L152,$Z$105:$AJ$105,1)+1)),0)</f>
        <v>1848.4895841605189</v>
      </c>
      <c r="AM152" s="44">
        <f t="shared" si="93"/>
        <v>690</v>
      </c>
      <c r="AN152" s="45">
        <f t="shared" si="55"/>
        <v>979</v>
      </c>
      <c r="AO152" s="54">
        <f t="shared" si="77"/>
        <v>0.98560005676699802</v>
      </c>
      <c r="AP152" s="54">
        <f t="shared" si="78"/>
        <v>0.98560005676699802</v>
      </c>
      <c r="AQ152" s="54">
        <f t="shared" si="73"/>
        <v>1.971200113533996</v>
      </c>
      <c r="AR152" s="46">
        <f t="shared" si="79"/>
        <v>6.158303863236914</v>
      </c>
      <c r="AS152" s="47">
        <f t="shared" si="40"/>
        <v>3.4643630058963032E-4</v>
      </c>
      <c r="AT152" s="47">
        <f t="shared" si="95"/>
        <v>1.2568218415385422E-6</v>
      </c>
      <c r="AU152" s="48">
        <f t="shared" si="41"/>
        <v>236.57040050216727</v>
      </c>
      <c r="AV152" s="48">
        <f t="shared" si="80"/>
        <v>1110.3218263185017</v>
      </c>
      <c r="AW152" s="140">
        <f t="shared" si="42"/>
        <v>244.68828251010436</v>
      </c>
      <c r="AX152" s="53"/>
      <c r="AZ152" s="50">
        <f t="shared" si="43"/>
        <v>312.23568877720777</v>
      </c>
      <c r="BA152" s="50">
        <f t="shared" si="44"/>
        <v>312.23568877720777</v>
      </c>
      <c r="BB152" s="50">
        <f t="shared" si="81"/>
        <v>362.86005951546434</v>
      </c>
      <c r="BD152" s="50">
        <f t="shared" si="82"/>
        <v>690</v>
      </c>
      <c r="BE152" s="50">
        <f t="shared" si="83"/>
        <v>979</v>
      </c>
      <c r="BF152" s="53">
        <f t="shared" si="84"/>
        <v>1.971200113533996</v>
      </c>
      <c r="BG152" s="53">
        <f t="shared" si="45"/>
        <v>3.4643630058963032E-4</v>
      </c>
      <c r="BH152" s="53">
        <f t="shared" si="46"/>
        <v>1110.3218263185017</v>
      </c>
      <c r="BI152" s="127">
        <f t="shared" si="47"/>
        <v>244.68828251010436</v>
      </c>
      <c r="BK152" s="44">
        <f t="shared" si="94"/>
        <v>690</v>
      </c>
      <c r="BL152" s="45">
        <f t="shared" si="57"/>
        <v>979</v>
      </c>
      <c r="BM152" s="119" cm="1">
        <f t="array" ref="BM152">IF(($AG$51=0),0,
_xlfn.IFS(BK152&lt;=$BL$102,($AG$53*(1-(BK152/$BL$102))),AND(BK152&gt;$BL$102,BK152&lt;($AG$55+$BL$102)),0,BK152&gt;=($AG$55+$BL$102),($AG$53*((BK152-($AG$55+$BL$102))/$BL$102)))-$AG$54)</f>
        <v>0</v>
      </c>
      <c r="BN152" s="119" cm="1">
        <f t="array" ref="BN152">IF(($AG$51=0),0,
_xlfn.IFS(BK152&lt;=$BL$102,($BL$103*(1-(BK152/$BL$102))),AND(BK152&gt;$BL$102,BK152&lt;($AG$55+$BL$102)),0,BK152&gt;=($AG$55+$BL$102),($BL$103*((BK152-($AG$55+$BL$102))/$BL$102))))</f>
        <v>0</v>
      </c>
      <c r="BO152" s="120">
        <f t="shared" si="85"/>
        <v>0</v>
      </c>
      <c r="BP152" s="121">
        <f t="shared" si="86"/>
        <v>0</v>
      </c>
      <c r="BQ152" s="121">
        <f t="shared" si="58"/>
        <v>0</v>
      </c>
      <c r="BR152" s="48">
        <f t="shared" si="87"/>
        <v>0</v>
      </c>
      <c r="BS152" s="48">
        <f t="shared" si="88"/>
        <v>979</v>
      </c>
      <c r="BU152" s="122"/>
      <c r="BW152" s="50">
        <f t="shared" si="64"/>
        <v>690</v>
      </c>
      <c r="BX152" s="50">
        <f t="shared" si="65"/>
        <v>979</v>
      </c>
      <c r="BY152" s="53">
        <f t="shared" si="66"/>
        <v>0</v>
      </c>
      <c r="BZ152" s="53">
        <f t="shared" si="67"/>
        <v>0</v>
      </c>
      <c r="CA152" s="53">
        <f t="shared" si="68"/>
        <v>979</v>
      </c>
      <c r="CC152" s="126">
        <f t="shared" si="54"/>
        <v>1110.3218263185017</v>
      </c>
      <c r="CD152" s="127">
        <f t="shared" si="89"/>
        <v>8.5110458751706251</v>
      </c>
    </row>
    <row r="153" spans="2:82" x14ac:dyDescent="0.35">
      <c r="B153" s="50" t="b">
        <f t="shared" si="22"/>
        <v>1</v>
      </c>
      <c r="C153" s="21">
        <f t="shared" si="90"/>
        <v>93.477777777777817</v>
      </c>
      <c r="D153" s="13">
        <f t="shared" si="91"/>
        <v>2.8241064529453097</v>
      </c>
      <c r="E153" s="143">
        <f t="shared" si="25"/>
        <v>176.31164589276614</v>
      </c>
      <c r="F153" s="52">
        <f t="shared" si="92"/>
        <v>1.8658940499193448</v>
      </c>
      <c r="G153" s="50">
        <f t="shared" si="27"/>
        <v>133.94518576023927</v>
      </c>
      <c r="H153" s="50">
        <f t="shared" si="74"/>
        <v>310.25683165300541</v>
      </c>
      <c r="I153" s="16">
        <f t="shared" si="28"/>
        <v>9.0610244127144703</v>
      </c>
      <c r="J153" s="22">
        <f t="shared" si="29"/>
        <v>4.1063933392304831E-2</v>
      </c>
      <c r="K153" s="15">
        <f t="shared" si="59"/>
        <v>527.90918518793126</v>
      </c>
      <c r="L153" s="15">
        <f t="shared" si="75"/>
        <v>356.57493089357058</v>
      </c>
      <c r="M153" s="17">
        <f t="shared" si="30"/>
        <v>0.87010276038056622</v>
      </c>
      <c r="N153" s="15">
        <f t="shared" si="31"/>
        <v>310.25683165300541</v>
      </c>
      <c r="O153" s="17">
        <f t="shared" si="32"/>
        <v>0.87010276038056622</v>
      </c>
      <c r="P153" s="15">
        <f t="shared" si="33"/>
        <v>1</v>
      </c>
      <c r="Q153" s="7">
        <f t="shared" si="34"/>
        <v>7.9936726098957828E-2</v>
      </c>
      <c r="R153" s="17">
        <f t="shared" si="76"/>
        <v>0.87010276038056622</v>
      </c>
      <c r="S153" s="17">
        <f t="shared" si="35"/>
        <v>0.60345836607039272</v>
      </c>
      <c r="T153" s="162">
        <f t="shared" si="36"/>
        <v>1892.3948204215937</v>
      </c>
      <c r="U153" s="162">
        <f>ABS($L153-$L154)*IF($B153,FORECAST($L153,
INDEX($Z$119:$AJ$119,MATCH($L153,$Z$105:$AJ$105,1)):INDEX($Z$119:$AJ$119,MATCH($L153,$Z$105:$AJ$105,1)+1),
INDEX($Z$105:$AJ$105,MATCH($L153,$Z$105:$AJ$105,1)):INDEX($Z$105:$AJ$105,MATCH($L153,$Z$105:$AJ$105,1)+1)),0)</f>
        <v>0</v>
      </c>
      <c r="V153" s="162">
        <f>ABS($L153-$L154)*IF($B153,FORECAST($L153,
INDEX($Z$120:$AJ$120,MATCH($L153,$Z$105:$AJ$105,1)):INDEX($Z$120:$AJ$120,MATCH($L153,$Z$105:$AJ$105,1)+1),
INDEX($Z$105:$AJ$105,MATCH($L153,$Z$105:$AJ$105,1)):INDEX($Z$105:$AJ$105,MATCH($L153,$Z$105:$AJ$105,1)+1)),0)</f>
        <v>2026.0939511183897</v>
      </c>
      <c r="W153" s="162">
        <f>ABS($L153-$L154)*IF($B153,FORECAST($L153,
INDEX($Z$121:$AJ$121,MATCH($L153,$Z$105:$AJ$105,1)):INDEX($Z$121:$AJ$121,MATCH($L153,$Z$105:$AJ$105,1)+1),
INDEX($Z$105:$AJ$105,MATCH($L153,$Z$105:$AJ$105,1)):INDEX($Z$105:$AJ$105,MATCH($L153,$Z$105:$AJ$105,1)+1)),0)</f>
        <v>2167.1457983930727</v>
      </c>
      <c r="X153" s="162">
        <f>ABS($L153-$L154)*IF($B153,FORECAST($L153,
INDEX($Z$122:$AJ$122,MATCH($L153,$Z$105:$AJ$105,1)):INDEX($Z$122:$AJ$122,MATCH($L153,$Z$105:$AJ$105,1)+1),
INDEX($Z$105:$AJ$105,MATCH($L153,$Z$105:$AJ$105,1)):INDEX($Z$105:$AJ$105,MATCH($L153,$Z$105:$AJ$105,1)+1)),0)</f>
        <v>1807.0766895588627</v>
      </c>
      <c r="AM153" s="44">
        <f t="shared" si="93"/>
        <v>705</v>
      </c>
      <c r="AN153" s="45">
        <f t="shared" si="55"/>
        <v>979</v>
      </c>
      <c r="AO153" s="54">
        <f t="shared" si="77"/>
        <v>0.99190003213880118</v>
      </c>
      <c r="AP153" s="54">
        <f t="shared" si="78"/>
        <v>0.99190003213880118</v>
      </c>
      <c r="AQ153" s="54">
        <f t="shared" si="73"/>
        <v>1.9838000642776024</v>
      </c>
      <c r="AR153" s="46">
        <f t="shared" si="79"/>
        <v>6.1976678653025559</v>
      </c>
      <c r="AS153" s="47">
        <f t="shared" si="40"/>
        <v>3.4865072838580202E-4</v>
      </c>
      <c r="AT153" s="47">
        <f t="shared" si="95"/>
        <v>1.2568216552592495E-6</v>
      </c>
      <c r="AU153" s="48">
        <f t="shared" si="41"/>
        <v>238.07709704793805</v>
      </c>
      <c r="AV153" s="48">
        <f t="shared" si="80"/>
        <v>1111.8285228642726</v>
      </c>
      <c r="AW153" s="140">
        <f t="shared" si="42"/>
        <v>247.51406919889129</v>
      </c>
      <c r="AX153" s="53"/>
      <c r="AZ153" s="50">
        <f t="shared" si="43"/>
        <v>310.25683165300541</v>
      </c>
      <c r="BA153" s="50">
        <f t="shared" si="44"/>
        <v>310.25683165300541</v>
      </c>
      <c r="BB153" s="50">
        <f t="shared" si="81"/>
        <v>356.57493089357058</v>
      </c>
      <c r="BD153" s="50">
        <f t="shared" si="82"/>
        <v>705</v>
      </c>
      <c r="BE153" s="50">
        <f t="shared" si="83"/>
        <v>979</v>
      </c>
      <c r="BF153" s="53">
        <f t="shared" si="84"/>
        <v>1.9838000642776024</v>
      </c>
      <c r="BG153" s="53">
        <f t="shared" si="45"/>
        <v>3.4865072838580202E-4</v>
      </c>
      <c r="BH153" s="53">
        <f t="shared" si="46"/>
        <v>1111.8285228642726</v>
      </c>
      <c r="BI153" s="127">
        <f t="shared" si="47"/>
        <v>247.51406919889129</v>
      </c>
      <c r="BK153" s="44">
        <f t="shared" si="94"/>
        <v>705</v>
      </c>
      <c r="BL153" s="45">
        <f t="shared" si="57"/>
        <v>979</v>
      </c>
      <c r="BM153" s="119" cm="1">
        <f t="array" ref="BM153">IF(($AG$51=0),0,
_xlfn.IFS(BK153&lt;=$BL$102,($AG$53*(1-(BK153/$BL$102))),AND(BK153&gt;$BL$102,BK153&lt;($AG$55+$BL$102)),0,BK153&gt;=($AG$55+$BL$102),($AG$53*((BK153-($AG$55+$BL$102))/$BL$102)))-$AG$54)</f>
        <v>0</v>
      </c>
      <c r="BN153" s="119" cm="1">
        <f t="array" ref="BN153">IF(($AG$51=0),0,
_xlfn.IFS(BK153&lt;=$BL$102,($BL$103*(1-(BK153/$BL$102))),AND(BK153&gt;$BL$102,BK153&lt;($AG$55+$BL$102)),0,BK153&gt;=($AG$55+$BL$102),($BL$103*((BK153-($AG$55+$BL$102))/$BL$102))))</f>
        <v>0</v>
      </c>
      <c r="BO153" s="120">
        <f t="shared" si="85"/>
        <v>0</v>
      </c>
      <c r="BP153" s="121">
        <f t="shared" si="86"/>
        <v>0</v>
      </c>
      <c r="BQ153" s="121">
        <f t="shared" si="58"/>
        <v>0</v>
      </c>
      <c r="BR153" s="48">
        <f t="shared" si="87"/>
        <v>0</v>
      </c>
      <c r="BS153" s="48">
        <f t="shared" si="88"/>
        <v>979</v>
      </c>
      <c r="BU153" s="122"/>
      <c r="BW153" s="50">
        <f t="shared" si="64"/>
        <v>705</v>
      </c>
      <c r="BX153" s="50">
        <f t="shared" si="65"/>
        <v>979</v>
      </c>
      <c r="BY153" s="53">
        <f t="shared" si="66"/>
        <v>0</v>
      </c>
      <c r="BZ153" s="53">
        <f t="shared" si="67"/>
        <v>0</v>
      </c>
      <c r="CA153" s="53">
        <f t="shared" si="68"/>
        <v>979</v>
      </c>
      <c r="CC153" s="126">
        <f t="shared" si="54"/>
        <v>1111.8285228642726</v>
      </c>
      <c r="CD153" s="127">
        <f t="shared" si="89"/>
        <v>8.4995121151012398</v>
      </c>
    </row>
    <row r="154" spans="2:82" x14ac:dyDescent="0.35">
      <c r="B154" s="50" t="b">
        <f t="shared" si="22"/>
        <v>1</v>
      </c>
      <c r="C154" s="21">
        <f t="shared" si="90"/>
        <v>95.466666666666711</v>
      </c>
      <c r="D154" s="13">
        <f t="shared" si="91"/>
        <v>2.8651703863376143</v>
      </c>
      <c r="E154" s="143">
        <f t="shared" si="25"/>
        <v>171.4805224156504</v>
      </c>
      <c r="F154" s="52">
        <f t="shared" si="92"/>
        <v>1.9047668426259978</v>
      </c>
      <c r="G154" s="50">
        <f t="shared" si="27"/>
        <v>136.73571046357756</v>
      </c>
      <c r="H154" s="50">
        <f t="shared" si="74"/>
        <v>308.21623287922796</v>
      </c>
      <c r="I154" s="16">
        <f t="shared" si="28"/>
        <v>8.812742868149865</v>
      </c>
      <c r="J154" s="22">
        <f t="shared" si="29"/>
        <v>3.9938738674339697E-2</v>
      </c>
      <c r="K154" s="15">
        <f t="shared" si="59"/>
        <v>518.84916077521677</v>
      </c>
      <c r="L154" s="15">
        <f t="shared" si="75"/>
        <v>350.45536019940346</v>
      </c>
      <c r="M154" s="17">
        <f t="shared" si="30"/>
        <v>0.87947358746020576</v>
      </c>
      <c r="N154" s="15">
        <f t="shared" si="31"/>
        <v>308.21623287922796</v>
      </c>
      <c r="O154" s="17">
        <f t="shared" si="32"/>
        <v>0.87947358746020576</v>
      </c>
      <c r="P154" s="15">
        <f t="shared" si="33"/>
        <v>1</v>
      </c>
      <c r="Q154" s="7">
        <f t="shared" si="34"/>
        <v>7.88115313809927E-2</v>
      </c>
      <c r="R154" s="17">
        <f t="shared" si="76"/>
        <v>0.87947358746020576</v>
      </c>
      <c r="S154" s="17">
        <f t="shared" si="35"/>
        <v>0.60995748807723948</v>
      </c>
      <c r="T154" s="162">
        <f t="shared" si="36"/>
        <v>1828.2358178736258</v>
      </c>
      <c r="U154" s="162">
        <f>ABS($L154-$L155)*IF($B154,FORECAST($L154,
INDEX($Z$119:$AJ$119,MATCH($L154,$Z$105:$AJ$105,1)):INDEX($Z$119:$AJ$119,MATCH($L154,$Z$105:$AJ$105,1)+1),
INDEX($Z$105:$AJ$105,MATCH($L154,$Z$105:$AJ$105,1)):INDEX($Z$105:$AJ$105,MATCH($L154,$Z$105:$AJ$105,1)+1)),0)</f>
        <v>0</v>
      </c>
      <c r="V154" s="162">
        <f>ABS($L154-$L155)*IF($B154,FORECAST($L154,
INDEX($Z$120:$AJ$120,MATCH($L154,$Z$105:$AJ$105,1)):INDEX($Z$120:$AJ$120,MATCH($L154,$Z$105:$AJ$105,1)+1),
INDEX($Z$105:$AJ$105,MATCH($L154,$Z$105:$AJ$105,1)):INDEX($Z$105:$AJ$105,MATCH($L154,$Z$105:$AJ$105,1)+1)),0)</f>
        <v>1976.3849244498711</v>
      </c>
      <c r="W154" s="162">
        <f>ABS($L154-$L155)*IF($B154,FORECAST($L154,
INDEX($Z$121:$AJ$121,MATCH($L154,$Z$105:$AJ$105,1)):INDEX($Z$121:$AJ$121,MATCH($L154,$Z$105:$AJ$105,1)+1),
INDEX($Z$105:$AJ$105,MATCH($L154,$Z$105:$AJ$105,1)):INDEX($Z$105:$AJ$105,MATCH($L154,$Z$105:$AJ$105,1)+1)),0)</f>
        <v>2105.6940817776458</v>
      </c>
      <c r="X154" s="162">
        <f>ABS($L154-$L155)*IF($B154,FORECAST($L154,
INDEX($Z$122:$AJ$122,MATCH($L154,$Z$105:$AJ$105,1)):INDEX($Z$122:$AJ$122,MATCH($L154,$Z$105:$AJ$105,1)+1),
INDEX($Z$105:$AJ$105,MATCH($L154,$Z$105:$AJ$105,1)):INDEX($Z$105:$AJ$105,MATCH($L154,$Z$105:$AJ$105,1)+1)),0)</f>
        <v>1764.4480665179681</v>
      </c>
      <c r="AM154" s="44">
        <f t="shared" si="93"/>
        <v>720</v>
      </c>
      <c r="AN154" s="45">
        <f t="shared" si="55"/>
        <v>979</v>
      </c>
      <c r="AO154" s="54">
        <f t="shared" si="77"/>
        <v>0.99640001435182057</v>
      </c>
      <c r="AP154" s="54">
        <f t="shared" si="78"/>
        <v>0.99640001435182057</v>
      </c>
      <c r="AQ154" s="54">
        <f t="shared" si="73"/>
        <v>1.9928000287036411</v>
      </c>
      <c r="AR154" s="46">
        <f t="shared" si="79"/>
        <v>6.2257850084141726</v>
      </c>
      <c r="AS154" s="47">
        <f t="shared" si="40"/>
        <v>3.5023246245723805E-4</v>
      </c>
      <c r="AT154" s="47">
        <f t="shared" si="95"/>
        <v>1.2568215214770756E-6</v>
      </c>
      <c r="AU154" s="48">
        <f t="shared" si="41"/>
        <v>239.1533088191178</v>
      </c>
      <c r="AV154" s="48">
        <f t="shared" si="80"/>
        <v>1112.9047346354523</v>
      </c>
      <c r="AW154" s="140">
        <f t="shared" si="42"/>
        <v>249.53248817466087</v>
      </c>
      <c r="AX154" s="53"/>
      <c r="AZ154" s="50">
        <f t="shared" si="43"/>
        <v>308.21623287922796</v>
      </c>
      <c r="BA154" s="50">
        <f t="shared" si="44"/>
        <v>308.21623287922796</v>
      </c>
      <c r="BB154" s="50">
        <f t="shared" si="81"/>
        <v>350.45536019940346</v>
      </c>
      <c r="BD154" s="50">
        <f t="shared" si="82"/>
        <v>720</v>
      </c>
      <c r="BE154" s="50">
        <f t="shared" si="83"/>
        <v>979</v>
      </c>
      <c r="BF154" s="53">
        <f t="shared" si="84"/>
        <v>1.9928000287036411</v>
      </c>
      <c r="BG154" s="53">
        <f t="shared" si="45"/>
        <v>3.5023246245723805E-4</v>
      </c>
      <c r="BH154" s="53">
        <f t="shared" si="46"/>
        <v>1112.9047346354523</v>
      </c>
      <c r="BI154" s="127">
        <f t="shared" si="47"/>
        <v>249.53248817466087</v>
      </c>
      <c r="BK154" s="44">
        <f t="shared" si="94"/>
        <v>720</v>
      </c>
      <c r="BL154" s="45">
        <f t="shared" si="57"/>
        <v>979</v>
      </c>
      <c r="BM154" s="119" cm="1">
        <f t="array" ref="BM154">IF(($AG$51=0),0,
_xlfn.IFS(BK154&lt;=$BL$102,($AG$53*(1-(BK154/$BL$102))),AND(BK154&gt;$BL$102,BK154&lt;($AG$55+$BL$102)),0,BK154&gt;=($AG$55+$BL$102),($AG$53*((BK154-($AG$55+$BL$102))/$BL$102)))-$AG$54)</f>
        <v>0</v>
      </c>
      <c r="BN154" s="119" cm="1">
        <f t="array" ref="BN154">IF(($AG$51=0),0,
_xlfn.IFS(BK154&lt;=$BL$102,($BL$103*(1-(BK154/$BL$102))),AND(BK154&gt;$BL$102,BK154&lt;($AG$55+$BL$102)),0,BK154&gt;=($AG$55+$BL$102),($BL$103*((BK154-($AG$55+$BL$102))/$BL$102))))</f>
        <v>0</v>
      </c>
      <c r="BO154" s="120">
        <f t="shared" si="85"/>
        <v>0</v>
      </c>
      <c r="BP154" s="121">
        <f t="shared" si="86"/>
        <v>0</v>
      </c>
      <c r="BQ154" s="121">
        <f t="shared" si="58"/>
        <v>0</v>
      </c>
      <c r="BR154" s="48">
        <f t="shared" si="87"/>
        <v>0</v>
      </c>
      <c r="BS154" s="48">
        <f t="shared" si="88"/>
        <v>979</v>
      </c>
      <c r="BU154" s="122"/>
      <c r="BW154" s="50">
        <f t="shared" si="64"/>
        <v>720</v>
      </c>
      <c r="BX154" s="50">
        <f t="shared" si="65"/>
        <v>979</v>
      </c>
      <c r="BY154" s="53">
        <f t="shared" si="66"/>
        <v>0</v>
      </c>
      <c r="BZ154" s="53">
        <f t="shared" si="67"/>
        <v>0</v>
      </c>
      <c r="CA154" s="53">
        <f t="shared" si="68"/>
        <v>979</v>
      </c>
      <c r="CC154" s="126">
        <f t="shared" si="54"/>
        <v>1112.9047346354523</v>
      </c>
      <c r="CD154" s="127">
        <f t="shared" si="89"/>
        <v>8.4912928356760755</v>
      </c>
    </row>
    <row r="155" spans="2:82" x14ac:dyDescent="0.35">
      <c r="B155" s="50" t="b">
        <f t="shared" si="22"/>
        <v>1</v>
      </c>
      <c r="C155" s="21">
        <f t="shared" si="90"/>
        <v>97.455555555555605</v>
      </c>
      <c r="D155" s="13">
        <f t="shared" si="91"/>
        <v>2.9051091250119541</v>
      </c>
      <c r="E155" s="143">
        <f t="shared" si="25"/>
        <v>166.59754819406928</v>
      </c>
      <c r="F155" s="52">
        <f t="shared" si="92"/>
        <v>1.9436396353326508</v>
      </c>
      <c r="G155" s="50">
        <f t="shared" si="27"/>
        <v>139.52623516691588</v>
      </c>
      <c r="H155" s="50">
        <f t="shared" si="74"/>
        <v>306.12378336098516</v>
      </c>
      <c r="I155" s="16">
        <f t="shared" si="28"/>
        <v>8.5617966053300396</v>
      </c>
      <c r="J155" s="22">
        <f t="shared" si="29"/>
        <v>3.8801467638294215E-2</v>
      </c>
      <c r="K155" s="15">
        <f t="shared" si="59"/>
        <v>510.03741790706687</v>
      </c>
      <c r="L155" s="15">
        <f t="shared" si="75"/>
        <v>344.50349064982566</v>
      </c>
      <c r="M155" s="17">
        <f t="shared" si="30"/>
        <v>0.88859414104499745</v>
      </c>
      <c r="N155" s="15">
        <f t="shared" si="31"/>
        <v>306.12378336098516</v>
      </c>
      <c r="O155" s="17">
        <f t="shared" si="32"/>
        <v>0.88859414104499745</v>
      </c>
      <c r="P155" s="15">
        <f t="shared" si="33"/>
        <v>1</v>
      </c>
      <c r="Q155" s="7">
        <f t="shared" si="34"/>
        <v>7.7674260344947219E-2</v>
      </c>
      <c r="R155" s="17">
        <f t="shared" si="76"/>
        <v>0.88859414104499745</v>
      </c>
      <c r="S155" s="17">
        <f t="shared" si="35"/>
        <v>0.61628303330540146</v>
      </c>
      <c r="T155" s="162">
        <f t="shared" si="36"/>
        <v>1763.9489016550885</v>
      </c>
      <c r="U155" s="162">
        <f>ABS($L155-$L156)*IF($B155,FORECAST($L155,
INDEX($Z$119:$AJ$119,MATCH($L155,$Z$105:$AJ$105,1)):INDEX($Z$119:$AJ$119,MATCH($L155,$Z$105:$AJ$105,1)+1),
INDEX($Z$105:$AJ$105,MATCH($L155,$Z$105:$AJ$105,1)):INDEX($Z$105:$AJ$105,MATCH($L155,$Z$105:$AJ$105,1)+1)),0)</f>
        <v>0</v>
      </c>
      <c r="V155" s="162">
        <f>ABS($L155-$L156)*IF($B155,FORECAST($L155,
INDEX($Z$120:$AJ$120,MATCH($L155,$Z$105:$AJ$105,1)):INDEX($Z$120:$AJ$120,MATCH($L155,$Z$105:$AJ$105,1)+1),
INDEX($Z$105:$AJ$105,MATCH($L155,$Z$105:$AJ$105,1)):INDEX($Z$105:$AJ$105,MATCH($L155,$Z$105:$AJ$105,1)+1)),0)</f>
        <v>1925.594031193011</v>
      </c>
      <c r="W155" s="162">
        <f>ABS($L155-$L156)*IF($B155,FORECAST($L155,
INDEX($Z$121:$AJ$121,MATCH($L155,$Z$105:$AJ$105,1)):INDEX($Z$121:$AJ$121,MATCH($L155,$Z$105:$AJ$105,1)+1),
INDEX($Z$105:$AJ$105,MATCH($L155,$Z$105:$AJ$105,1)):INDEX($Z$105:$AJ$105,MATCH($L155,$Z$105:$AJ$105,1)+1)),0)</f>
        <v>2043.7774038988443</v>
      </c>
      <c r="X155" s="162">
        <f>ABS($L155-$L156)*IF($B155,FORECAST($L155,
INDEX($Z$122:$AJ$122,MATCH($L155,$Z$105:$AJ$105,1)):INDEX($Z$122:$AJ$122,MATCH($L155,$Z$105:$AJ$105,1)+1),
INDEX($Z$105:$AJ$105,MATCH($L155,$Z$105:$AJ$105,1)):INDEX($Z$105:$AJ$105,MATCH($L155,$Z$105:$AJ$105,1)+1)),0)</f>
        <v>1720.7118569595025</v>
      </c>
      <c r="AM155" s="44">
        <f t="shared" si="93"/>
        <v>735</v>
      </c>
      <c r="AN155" s="45">
        <f t="shared" si="55"/>
        <v>979</v>
      </c>
      <c r="AO155" s="54">
        <f t="shared" si="77"/>
        <v>0.9991000035952311</v>
      </c>
      <c r="AP155" s="54">
        <f t="shared" si="78"/>
        <v>0.9991000035952311</v>
      </c>
      <c r="AQ155" s="54">
        <f t="shared" si="73"/>
        <v>1.9982000071904622</v>
      </c>
      <c r="AR155" s="46">
        <f t="shared" si="79"/>
        <v>6.2426552937537805</v>
      </c>
      <c r="AS155" s="47">
        <f t="shared" si="40"/>
        <v>3.5118150287043279E-4</v>
      </c>
      <c r="AT155" s="47">
        <f t="shared" si="95"/>
        <v>1.256821435111184E-6</v>
      </c>
      <c r="AU155" s="48">
        <f t="shared" si="41"/>
        <v>239.7990358574921</v>
      </c>
      <c r="AV155" s="48">
        <f t="shared" si="80"/>
        <v>1113.5504616738267</v>
      </c>
      <c r="AW155" s="140">
        <f t="shared" si="42"/>
        <v>250.74353952226537</v>
      </c>
      <c r="AX155" s="53"/>
      <c r="AZ155" s="50">
        <f t="shared" si="43"/>
        <v>306.12378336098516</v>
      </c>
      <c r="BA155" s="50">
        <f t="shared" si="44"/>
        <v>306.12378336098516</v>
      </c>
      <c r="BB155" s="50">
        <f t="shared" si="81"/>
        <v>344.50349064982566</v>
      </c>
      <c r="BD155" s="50">
        <f t="shared" si="82"/>
        <v>735</v>
      </c>
      <c r="BE155" s="50">
        <f t="shared" si="83"/>
        <v>979</v>
      </c>
      <c r="BF155" s="53">
        <f t="shared" si="84"/>
        <v>1.9982000071904622</v>
      </c>
      <c r="BG155" s="53">
        <f t="shared" si="45"/>
        <v>3.5118150287043279E-4</v>
      </c>
      <c r="BH155" s="53">
        <f t="shared" si="46"/>
        <v>1113.5504616738267</v>
      </c>
      <c r="BI155" s="127">
        <f t="shared" si="47"/>
        <v>250.74353952226537</v>
      </c>
      <c r="BK155" s="44">
        <f t="shared" si="94"/>
        <v>735</v>
      </c>
      <c r="BL155" s="45">
        <f t="shared" si="57"/>
        <v>979</v>
      </c>
      <c r="BM155" s="119" cm="1">
        <f t="array" ref="BM155">IF(($AG$51=0),0,
_xlfn.IFS(BK155&lt;=$BL$102,($AG$53*(1-(BK155/$BL$102))),AND(BK155&gt;$BL$102,BK155&lt;($AG$55+$BL$102)),0,BK155&gt;=($AG$55+$BL$102),($AG$53*((BK155-($AG$55+$BL$102))/$BL$102)))-$AG$54)</f>
        <v>0</v>
      </c>
      <c r="BN155" s="119" cm="1">
        <f t="array" ref="BN155">IF(($AG$51=0),0,
_xlfn.IFS(BK155&lt;=$BL$102,($BL$103*(1-(BK155/$BL$102))),AND(BK155&gt;$BL$102,BK155&lt;($AG$55+$BL$102)),0,BK155&gt;=($AG$55+$BL$102),($BL$103*((BK155-($AG$55+$BL$102))/$BL$102))))</f>
        <v>0</v>
      </c>
      <c r="BO155" s="120">
        <f t="shared" si="85"/>
        <v>0</v>
      </c>
      <c r="BP155" s="121">
        <f t="shared" si="86"/>
        <v>0</v>
      </c>
      <c r="BQ155" s="121">
        <f t="shared" si="58"/>
        <v>0</v>
      </c>
      <c r="BR155" s="48">
        <f t="shared" si="87"/>
        <v>0</v>
      </c>
      <c r="BS155" s="48">
        <f t="shared" si="88"/>
        <v>979</v>
      </c>
      <c r="BU155" s="122"/>
      <c r="BW155" s="50">
        <f t="shared" si="64"/>
        <v>735</v>
      </c>
      <c r="BX155" s="50">
        <f t="shared" si="65"/>
        <v>979</v>
      </c>
      <c r="BY155" s="53">
        <f t="shared" si="66"/>
        <v>0</v>
      </c>
      <c r="BZ155" s="53">
        <f t="shared" si="67"/>
        <v>0</v>
      </c>
      <c r="CA155" s="53">
        <f t="shared" si="68"/>
        <v>979</v>
      </c>
      <c r="CC155" s="126">
        <f t="shared" si="54"/>
        <v>1113.5504616738267</v>
      </c>
      <c r="CD155" s="127">
        <f t="shared" si="89"/>
        <v>8.4863688941364082</v>
      </c>
    </row>
    <row r="156" spans="2:82" x14ac:dyDescent="0.35">
      <c r="B156" s="50" t="b">
        <f t="shared" si="22"/>
        <v>1</v>
      </c>
      <c r="C156" s="21">
        <f t="shared" si="90"/>
        <v>99.4444444444445</v>
      </c>
      <c r="D156" s="13">
        <f t="shared" si="91"/>
        <v>2.9439105926502482</v>
      </c>
      <c r="E156" s="143">
        <f t="shared" si="25"/>
        <v>161.67238651046307</v>
      </c>
      <c r="F156" s="52">
        <f t="shared" si="92"/>
        <v>1.9825124280393038</v>
      </c>
      <c r="G156" s="50">
        <f t="shared" si="27"/>
        <v>142.3167598702542</v>
      </c>
      <c r="H156" s="50">
        <f t="shared" si="74"/>
        <v>303.98914638071727</v>
      </c>
      <c r="I156" s="16">
        <f t="shared" si="28"/>
        <v>8.3086822405599197</v>
      </c>
      <c r="J156" s="22">
        <f t="shared" si="29"/>
        <v>3.7654370914774631E-2</v>
      </c>
      <c r="K156" s="15">
        <f t="shared" si="59"/>
        <v>501.47662130173683</v>
      </c>
      <c r="L156" s="15">
        <f t="shared" si="75"/>
        <v>338.72112212207827</v>
      </c>
      <c r="M156" s="17">
        <f t="shared" si="30"/>
        <v>0.89746144107055936</v>
      </c>
      <c r="N156" s="15">
        <f t="shared" si="31"/>
        <v>303.98914638071727</v>
      </c>
      <c r="O156" s="17">
        <f t="shared" si="32"/>
        <v>0.89746144107055936</v>
      </c>
      <c r="P156" s="15">
        <f t="shared" si="33"/>
        <v>1</v>
      </c>
      <c r="Q156" s="7">
        <f t="shared" si="34"/>
        <v>7.6527163621427641E-2</v>
      </c>
      <c r="R156" s="17">
        <f t="shared" si="76"/>
        <v>0.89746144107055936</v>
      </c>
      <c r="S156" s="17">
        <f t="shared" si="35"/>
        <v>0.62243293493603313</v>
      </c>
      <c r="T156" s="162">
        <f t="shared" si="36"/>
        <v>1699.7244795078293</v>
      </c>
      <c r="U156" s="162">
        <f>ABS($L156-$L157)*IF($B156,FORECAST($L156,
INDEX($Z$119:$AJ$119,MATCH($L156,$Z$105:$AJ$105,1)):INDEX($Z$119:$AJ$119,MATCH($L156,$Z$105:$AJ$105,1)+1),
INDEX($Z$105:$AJ$105,MATCH($L156,$Z$105:$AJ$105,1)):INDEX($Z$105:$AJ$105,MATCH($L156,$Z$105:$AJ$105,1)+1)),0)</f>
        <v>0</v>
      </c>
      <c r="V156" s="162">
        <f>ABS($L156-$L157)*IF($B156,FORECAST($L156,
INDEX($Z$120:$AJ$120,MATCH($L156,$Z$105:$AJ$105,1)):INDEX($Z$120:$AJ$120,MATCH($L156,$Z$105:$AJ$105,1)+1),
INDEX($Z$105:$AJ$105,MATCH($L156,$Z$105:$AJ$105,1)):INDEX($Z$105:$AJ$105,MATCH($L156,$Z$105:$AJ$105,1)+1)),0)</f>
        <v>1873.8401560829107</v>
      </c>
      <c r="W156" s="162">
        <f>ABS($L156-$L157)*IF($B156,FORECAST($L156,
INDEX($Z$121:$AJ$121,MATCH($L156,$Z$105:$AJ$105,1)):INDEX($Z$121:$AJ$121,MATCH($L156,$Z$105:$AJ$105,1)+1),
INDEX($Z$105:$AJ$105,MATCH($L156,$Z$105:$AJ$105,1)):INDEX($Z$105:$AJ$105,MATCH($L156,$Z$105:$AJ$105,1)+1)),0)</f>
        <v>1981.5117776097311</v>
      </c>
      <c r="X156" s="162">
        <f>ABS($L156-$L157)*IF($B156,FORECAST($L156,
INDEX($Z$122:$AJ$122,MATCH($L156,$Z$105:$AJ$105,1)):INDEX($Z$122:$AJ$122,MATCH($L156,$Z$105:$AJ$105,1)+1),
INDEX($Z$105:$AJ$105,MATCH($L156,$Z$105:$AJ$105,1)):INDEX($Z$105:$AJ$105,MATCH($L156,$Z$105:$AJ$105,1)+1)),0)</f>
        <v>1675.9763920729581</v>
      </c>
      <c r="AM156" s="44">
        <f t="shared" si="93"/>
        <v>750</v>
      </c>
      <c r="AN156" s="45">
        <f t="shared" si="55"/>
        <v>979</v>
      </c>
      <c r="AO156" s="54">
        <f t="shared" si="77"/>
        <v>1</v>
      </c>
      <c r="AP156" s="54">
        <f t="shared" si="78"/>
        <v>1</v>
      </c>
      <c r="AQ156" s="54">
        <f t="shared" si="73"/>
        <v>2</v>
      </c>
      <c r="AR156" s="46">
        <f t="shared" si="79"/>
        <v>6.2482787221397</v>
      </c>
      <c r="AS156" s="47">
        <f t="shared" si="40"/>
        <v>3.5149784967142104E-4</v>
      </c>
      <c r="AT156" s="47">
        <f t="shared" si="95"/>
        <v>1.2568214097093886E-6</v>
      </c>
      <c r="AU156" s="48">
        <f t="shared" si="41"/>
        <v>240.01427820360118</v>
      </c>
      <c r="AV156" s="48">
        <f t="shared" si="80"/>
        <v>1113.7657040199356</v>
      </c>
      <c r="AW156" s="140">
        <f t="shared" si="42"/>
        <v>251.14722330044879</v>
      </c>
      <c r="AX156" s="53"/>
      <c r="AY156" s="36"/>
      <c r="AZ156" s="50">
        <f t="shared" si="43"/>
        <v>303.98914638071727</v>
      </c>
      <c r="BA156" s="50">
        <f t="shared" si="44"/>
        <v>303.98914638071727</v>
      </c>
      <c r="BB156" s="50">
        <f t="shared" si="81"/>
        <v>338.72112212207827</v>
      </c>
      <c r="BD156" s="50">
        <f t="shared" si="82"/>
        <v>750</v>
      </c>
      <c r="BE156" s="50">
        <f t="shared" si="83"/>
        <v>979</v>
      </c>
      <c r="BF156" s="53">
        <f t="shared" si="84"/>
        <v>2</v>
      </c>
      <c r="BG156" s="53">
        <f t="shared" si="45"/>
        <v>3.5149784967142104E-4</v>
      </c>
      <c r="BH156" s="53">
        <f t="shared" si="46"/>
        <v>1113.7657040199356</v>
      </c>
      <c r="BI156" s="127">
        <f t="shared" si="47"/>
        <v>251.14722330044879</v>
      </c>
      <c r="BK156" s="44">
        <f t="shared" si="94"/>
        <v>750</v>
      </c>
      <c r="BL156" s="45">
        <f t="shared" si="57"/>
        <v>979</v>
      </c>
      <c r="BM156" s="119" cm="1">
        <f t="array" ref="BM156">IF(($AG$51=0),0,
_xlfn.IFS(BK156&lt;=$BL$102,($AG$53*(1-(BK156/$BL$102))),AND(BK156&gt;$BL$102,BK156&lt;($AG$55+$BL$102)),0,BK156&gt;=($AG$55+$BL$102),($AG$53*((BK156-($AG$55+$BL$102))/$BL$102)))-$AG$54)</f>
        <v>0</v>
      </c>
      <c r="BN156" s="119" cm="1">
        <f t="array" ref="BN156">IF(($AG$51=0),0,
_xlfn.IFS(BK156&lt;=$BL$102,($BL$103*(1-(BK156/$BL$102))),AND(BK156&gt;$BL$102,BK156&lt;($AG$55+$BL$102)),0,BK156&gt;=($AG$55+$BL$102),($BL$103*((BK156-($AG$55+$BL$102))/$BL$102))))</f>
        <v>0</v>
      </c>
      <c r="BO156" s="120">
        <f t="shared" si="85"/>
        <v>0</v>
      </c>
      <c r="BP156" s="121">
        <f t="shared" si="86"/>
        <v>0</v>
      </c>
      <c r="BQ156" s="121">
        <f t="shared" si="58"/>
        <v>0</v>
      </c>
      <c r="BR156" s="48">
        <f t="shared" si="87"/>
        <v>0</v>
      </c>
      <c r="BS156" s="48">
        <f t="shared" si="88"/>
        <v>979</v>
      </c>
      <c r="BU156" s="122"/>
      <c r="BW156" s="50">
        <f t="shared" si="64"/>
        <v>750</v>
      </c>
      <c r="BX156" s="50">
        <f t="shared" si="65"/>
        <v>979</v>
      </c>
      <c r="BY156" s="53">
        <f t="shared" si="66"/>
        <v>0</v>
      </c>
      <c r="BZ156" s="53">
        <f t="shared" si="67"/>
        <v>0</v>
      </c>
      <c r="CA156" s="53">
        <f t="shared" si="68"/>
        <v>979</v>
      </c>
      <c r="CC156" s="126">
        <f t="shared" si="54"/>
        <v>1113.7657040199356</v>
      </c>
      <c r="CD156" s="127">
        <f t="shared" si="89"/>
        <v>8.4847288490675705</v>
      </c>
    </row>
    <row r="157" spans="2:82" x14ac:dyDescent="0.35">
      <c r="B157" s="50" t="b">
        <f t="shared" si="22"/>
        <v>1</v>
      </c>
      <c r="C157" s="21">
        <f t="shared" si="90"/>
        <v>101.43333333333339</v>
      </c>
      <c r="D157" s="13">
        <f t="shared" si="91"/>
        <v>2.981564963565023</v>
      </c>
      <c r="E157" s="143">
        <f t="shared" si="25"/>
        <v>156.71443639579235</v>
      </c>
      <c r="F157" s="52">
        <f t="shared" si="92"/>
        <v>2.0213852207459571</v>
      </c>
      <c r="G157" s="50">
        <f t="shared" si="27"/>
        <v>145.10728457359255</v>
      </c>
      <c r="H157" s="50">
        <f t="shared" si="74"/>
        <v>301.8217209693849</v>
      </c>
      <c r="I157" s="16">
        <f t="shared" si="28"/>
        <v>8.0538828097079449</v>
      </c>
      <c r="J157" s="22">
        <f t="shared" si="29"/>
        <v>3.64996375887921E-2</v>
      </c>
      <c r="K157" s="15">
        <f t="shared" si="59"/>
        <v>493.1689390611769</v>
      </c>
      <c r="L157" s="15">
        <f t="shared" si="75"/>
        <v>333.10971905516845</v>
      </c>
      <c r="M157" s="17">
        <f t="shared" si="30"/>
        <v>0.90607299548470466</v>
      </c>
      <c r="N157" s="15">
        <f t="shared" si="31"/>
        <v>301.8217209693849</v>
      </c>
      <c r="O157" s="17">
        <f t="shared" si="32"/>
        <v>0.90607299548470466</v>
      </c>
      <c r="P157" s="15">
        <f t="shared" si="33"/>
        <v>1</v>
      </c>
      <c r="Q157" s="7">
        <f t="shared" si="34"/>
        <v>7.5372430295445325E-2</v>
      </c>
      <c r="R157" s="17">
        <f t="shared" si="76"/>
        <v>0.90607299548470466</v>
      </c>
      <c r="S157" s="17">
        <f t="shared" si="35"/>
        <v>0.62840546461035973</v>
      </c>
      <c r="T157" s="162">
        <f t="shared" si="36"/>
        <v>1635.7396588176168</v>
      </c>
      <c r="U157" s="162">
        <f>ABS($L157-$L158)*IF($B157,FORECAST($L157,
INDEX($Z$119:$AJ$119,MATCH($L157,$Z$105:$AJ$105,1)):INDEX($Z$119:$AJ$119,MATCH($L157,$Z$105:$AJ$105,1)+1),
INDEX($Z$105:$AJ$105,MATCH($L157,$Z$105:$AJ$105,1)):INDEX($Z$105:$AJ$105,MATCH($L157,$Z$105:$AJ$105,1)+1)),0)</f>
        <v>0</v>
      </c>
      <c r="V157" s="162">
        <f>ABS($L157-$L158)*IF($B157,FORECAST($L157,
INDEX($Z$120:$AJ$120,MATCH($L157,$Z$105:$AJ$105,1)):INDEX($Z$120:$AJ$120,MATCH($L157,$Z$105:$AJ$105,1)+1),
INDEX($Z$105:$AJ$105,MATCH($L157,$Z$105:$AJ$105,1)):INDEX($Z$105:$AJ$105,MATCH($L157,$Z$105:$AJ$105,1)+1)),0)</f>
        <v>1821.2410935934752</v>
      </c>
      <c r="W157" s="162">
        <f>ABS($L157-$L158)*IF($B157,FORECAST($L157,
INDEX($Z$121:$AJ$121,MATCH($L157,$Z$105:$AJ$105,1)):INDEX($Z$121:$AJ$121,MATCH($L157,$Z$105:$AJ$105,1)+1),
INDEX($Z$105:$AJ$105,MATCH($L157,$Z$105:$AJ$105,1)):INDEX($Z$105:$AJ$105,MATCH($L157,$Z$105:$AJ$105,1)+1)),0)</f>
        <v>1919.009276564615</v>
      </c>
      <c r="X157" s="162">
        <f>ABS($L157-$L158)*IF($B157,FORECAST($L157,
INDEX($Z$122:$AJ$122,MATCH($L157,$Z$105:$AJ$105,1)):INDEX($Z$122:$AJ$122,MATCH($L157,$Z$105:$AJ$105,1)+1),
INDEX($Z$105:$AJ$105,MATCH($L157,$Z$105:$AJ$105,1)):INDEX($Z$105:$AJ$105,MATCH($L157,$Z$105:$AJ$105,1)+1)),0)</f>
        <v>1630.349602168041</v>
      </c>
      <c r="AM157" s="44">
        <f t="shared" si="93"/>
        <v>765</v>
      </c>
      <c r="AN157" s="45">
        <f t="shared" si="55"/>
        <v>979</v>
      </c>
      <c r="AO157" s="54">
        <f t="shared" si="77"/>
        <v>0.9991000035952311</v>
      </c>
      <c r="AP157" s="54">
        <f t="shared" si="78"/>
        <v>0.9991000035952311</v>
      </c>
      <c r="AQ157" s="54">
        <f t="shared" si="73"/>
        <v>1.9982000071904622</v>
      </c>
      <c r="AR157" s="46">
        <f t="shared" si="79"/>
        <v>6.2426552937537805</v>
      </c>
      <c r="AS157" s="47">
        <f t="shared" si="40"/>
        <v>3.5118150287043279E-4</v>
      </c>
      <c r="AT157" s="47">
        <f t="shared" si="95"/>
        <v>1.256821435111184E-6</v>
      </c>
      <c r="AU157" s="48">
        <f t="shared" si="41"/>
        <v>239.7990358574921</v>
      </c>
      <c r="AV157" s="48">
        <f t="shared" si="80"/>
        <v>1113.5504616738267</v>
      </c>
      <c r="AW157" s="140">
        <f t="shared" si="42"/>
        <v>250.74353952226537</v>
      </c>
      <c r="AX157" s="53"/>
      <c r="AZ157" s="50">
        <f t="shared" si="43"/>
        <v>301.8217209693849</v>
      </c>
      <c r="BA157" s="50">
        <f t="shared" si="44"/>
        <v>301.8217209693849</v>
      </c>
      <c r="BB157" s="50">
        <f t="shared" si="81"/>
        <v>333.10971905516845</v>
      </c>
      <c r="BD157" s="50">
        <f t="shared" si="82"/>
        <v>765</v>
      </c>
      <c r="BE157" s="50">
        <f t="shared" si="83"/>
        <v>979</v>
      </c>
      <c r="BF157" s="53">
        <f t="shared" si="84"/>
        <v>1.9982000071904622</v>
      </c>
      <c r="BG157" s="53">
        <f t="shared" si="45"/>
        <v>3.5118150287043279E-4</v>
      </c>
      <c r="BH157" s="53">
        <f t="shared" si="46"/>
        <v>1113.5504616738267</v>
      </c>
      <c r="BI157" s="127">
        <f t="shared" si="47"/>
        <v>250.74353952226537</v>
      </c>
      <c r="BK157" s="44">
        <f t="shared" si="94"/>
        <v>765</v>
      </c>
      <c r="BL157" s="45">
        <f t="shared" si="57"/>
        <v>979</v>
      </c>
      <c r="BM157" s="119" cm="1">
        <f t="array" ref="BM157">IF(($AG$51=0),0,
_xlfn.IFS(BK157&lt;=$BL$102,($AG$53*(1-(BK157/$BL$102))),AND(BK157&gt;$BL$102,BK157&lt;($AG$55+$BL$102)),0,BK157&gt;=($AG$55+$BL$102),($AG$53*((BK157-($AG$55+$BL$102))/$BL$102)))-$AG$54)</f>
        <v>0</v>
      </c>
      <c r="BN157" s="119" cm="1">
        <f t="array" ref="BN157">IF(($AG$51=0),0,
_xlfn.IFS(BK157&lt;=$BL$102,($BL$103*(1-(BK157/$BL$102))),AND(BK157&gt;$BL$102,BK157&lt;($AG$55+$BL$102)),0,BK157&gt;=($AG$55+$BL$102),($BL$103*((BK157-($AG$55+$BL$102))/$BL$102))))</f>
        <v>0</v>
      </c>
      <c r="BO157" s="120">
        <f t="shared" si="85"/>
        <v>0</v>
      </c>
      <c r="BP157" s="121">
        <f t="shared" si="86"/>
        <v>0</v>
      </c>
      <c r="BQ157" s="121">
        <f t="shared" si="58"/>
        <v>0</v>
      </c>
      <c r="BR157" s="48">
        <f t="shared" si="87"/>
        <v>0</v>
      </c>
      <c r="BS157" s="48">
        <f t="shared" si="88"/>
        <v>979</v>
      </c>
      <c r="BU157" s="122"/>
      <c r="BW157" s="50">
        <f t="shared" si="64"/>
        <v>765</v>
      </c>
      <c r="BX157" s="50">
        <f t="shared" si="65"/>
        <v>979</v>
      </c>
      <c r="BY157" s="53">
        <f t="shared" si="66"/>
        <v>0</v>
      </c>
      <c r="BZ157" s="53">
        <f t="shared" si="67"/>
        <v>0</v>
      </c>
      <c r="CA157" s="53">
        <f t="shared" si="68"/>
        <v>979</v>
      </c>
      <c r="CC157" s="126">
        <f t="shared" si="54"/>
        <v>1113.5504616738267</v>
      </c>
      <c r="CD157" s="127">
        <f t="shared" si="89"/>
        <v>8.4863688941364082</v>
      </c>
    </row>
    <row r="158" spans="2:82" x14ac:dyDescent="0.35">
      <c r="B158" s="50" t="b">
        <f t="shared" si="22"/>
        <v>1</v>
      </c>
      <c r="C158" s="21">
        <f t="shared" si="90"/>
        <v>103.42222222222229</v>
      </c>
      <c r="D158" s="13">
        <f t="shared" si="91"/>
        <v>3.018064601153815</v>
      </c>
      <c r="E158" s="143">
        <f t="shared" si="25"/>
        <v>151.73279983355556</v>
      </c>
      <c r="F158" s="52">
        <f t="shared" si="92"/>
        <v>2.0602580134526103</v>
      </c>
      <c r="G158" s="50">
        <f t="shared" si="27"/>
        <v>147.89780927693087</v>
      </c>
      <c r="H158" s="50">
        <f t="shared" si="74"/>
        <v>299.63060911048643</v>
      </c>
      <c r="I158" s="16">
        <f t="shared" si="28"/>
        <v>7.7978660827519031</v>
      </c>
      <c r="J158" s="22">
        <f t="shared" si="29"/>
        <v>3.5339387561401508E-2</v>
      </c>
      <c r="K158" s="15">
        <f t="shared" si="59"/>
        <v>485.11605625146893</v>
      </c>
      <c r="L158" s="15">
        <f t="shared" si="75"/>
        <v>327.67041962274163</v>
      </c>
      <c r="M158" s="17">
        <f t="shared" si="30"/>
        <v>0.91442678730494376</v>
      </c>
      <c r="N158" s="15">
        <f t="shared" si="31"/>
        <v>299.63060911048643</v>
      </c>
      <c r="O158" s="17">
        <f t="shared" si="32"/>
        <v>0.91442678730494376</v>
      </c>
      <c r="P158" s="15">
        <f t="shared" si="33"/>
        <v>1</v>
      </c>
      <c r="Q158" s="7">
        <f t="shared" si="34"/>
        <v>7.4212180268054734E-2</v>
      </c>
      <c r="R158" s="17">
        <f t="shared" si="76"/>
        <v>0.91442678730494376</v>
      </c>
      <c r="S158" s="17">
        <f t="shared" si="35"/>
        <v>0.63419922345342883</v>
      </c>
      <c r="T158" s="162">
        <f t="shared" si="36"/>
        <v>1572.1578543523458</v>
      </c>
      <c r="U158" s="162">
        <f>ABS($L158-$L159)*IF($B158,FORECAST($L158,
INDEX($Z$119:$AJ$119,MATCH($L158,$Z$105:$AJ$105,1)):INDEX($Z$119:$AJ$119,MATCH($L158,$Z$105:$AJ$105,1)+1),
INDEX($Z$105:$AJ$105,MATCH($L158,$Z$105:$AJ$105,1)):INDEX($Z$105:$AJ$105,MATCH($L158,$Z$105:$AJ$105,1)+1)),0)</f>
        <v>0</v>
      </c>
      <c r="V158" s="162">
        <f>ABS($L158-$L159)*IF($B158,FORECAST($L158,
INDEX($Z$120:$AJ$120,MATCH($L158,$Z$105:$AJ$105,1)):INDEX($Z$120:$AJ$120,MATCH($L158,$Z$105:$AJ$105,1)+1),
INDEX($Z$105:$AJ$105,MATCH($L158,$Z$105:$AJ$105,1)):INDEX($Z$105:$AJ$105,MATCH($L158,$Z$105:$AJ$105,1)+1)),0)</f>
        <v>1767.9129844275478</v>
      </c>
      <c r="W158" s="162">
        <f>ABS($L158-$L159)*IF($B158,FORECAST($L158,
INDEX($Z$121:$AJ$121,MATCH($L158,$Z$105:$AJ$105,1)):INDEX($Z$121:$AJ$121,MATCH($L158,$Z$105:$AJ$105,1)+1),
INDEX($Z$105:$AJ$105,MATCH($L158,$Z$105:$AJ$105,1)):INDEX($Z$105:$AJ$105,MATCH($L158,$Z$105:$AJ$105,1)+1)),0)</f>
        <v>1856.3776982710406</v>
      </c>
      <c r="X158" s="162">
        <f>ABS($L158-$L159)*IF($B158,FORECAST($L158,
INDEX($Z$122:$AJ$122,MATCH($L158,$Z$105:$AJ$105,1)):INDEX($Z$122:$AJ$122,MATCH($L158,$Z$105:$AJ$105,1)+1),
INDEX($Z$105:$AJ$105,MATCH($L158,$Z$105:$AJ$105,1)):INDEX($Z$105:$AJ$105,MATCH($L158,$Z$105:$AJ$105,1)+1)),0)</f>
        <v>1583.9384592991858</v>
      </c>
      <c r="AM158" s="44">
        <f t="shared" si="93"/>
        <v>780</v>
      </c>
      <c r="AN158" s="45">
        <f t="shared" si="55"/>
        <v>979</v>
      </c>
      <c r="AO158" s="54">
        <f t="shared" si="77"/>
        <v>0.99640001435182057</v>
      </c>
      <c r="AP158" s="54">
        <f t="shared" si="78"/>
        <v>0.99640001435182057</v>
      </c>
      <c r="AQ158" s="54">
        <f t="shared" si="73"/>
        <v>1.9928000287036411</v>
      </c>
      <c r="AR158" s="46">
        <f t="shared" si="79"/>
        <v>6.2257850084141726</v>
      </c>
      <c r="AS158" s="47">
        <f t="shared" si="40"/>
        <v>3.5023246245723805E-4</v>
      </c>
      <c r="AT158" s="47">
        <f t="shared" si="95"/>
        <v>1.2568215214770756E-6</v>
      </c>
      <c r="AU158" s="48">
        <f t="shared" si="41"/>
        <v>239.1533088191178</v>
      </c>
      <c r="AV158" s="48">
        <f t="shared" si="80"/>
        <v>1112.9047346354523</v>
      </c>
      <c r="AW158" s="140">
        <f t="shared" si="42"/>
        <v>249.53248817466087</v>
      </c>
      <c r="AX158" s="53"/>
      <c r="AZ158" s="50">
        <f t="shared" si="43"/>
        <v>299.63060911048643</v>
      </c>
      <c r="BA158" s="50">
        <f t="shared" si="44"/>
        <v>299.63060911048643</v>
      </c>
      <c r="BB158" s="50">
        <f t="shared" si="81"/>
        <v>327.67041962274163</v>
      </c>
      <c r="BD158" s="50">
        <f t="shared" si="82"/>
        <v>780</v>
      </c>
      <c r="BE158" s="50">
        <f t="shared" si="83"/>
        <v>979</v>
      </c>
      <c r="BF158" s="53">
        <f t="shared" si="84"/>
        <v>1.9928000287036411</v>
      </c>
      <c r="BG158" s="53">
        <f t="shared" si="45"/>
        <v>3.5023246245723805E-4</v>
      </c>
      <c r="BH158" s="53">
        <f t="shared" si="46"/>
        <v>1112.9047346354523</v>
      </c>
      <c r="BI158" s="127">
        <f t="shared" si="47"/>
        <v>249.53248817466087</v>
      </c>
      <c r="BK158" s="44">
        <f t="shared" si="94"/>
        <v>780</v>
      </c>
      <c r="BL158" s="45">
        <f t="shared" si="57"/>
        <v>979</v>
      </c>
      <c r="BM158" s="119" cm="1">
        <f t="array" ref="BM158">IF(($AG$51=0),0,
_xlfn.IFS(BK158&lt;=$BL$102,($AG$53*(1-(BK158/$BL$102))),AND(BK158&gt;$BL$102,BK158&lt;($AG$55+$BL$102)),0,BK158&gt;=($AG$55+$BL$102),($AG$53*((BK158-($AG$55+$BL$102))/$BL$102)))-$AG$54)</f>
        <v>0</v>
      </c>
      <c r="BN158" s="119" cm="1">
        <f t="array" ref="BN158">IF(($AG$51=0),0,
_xlfn.IFS(BK158&lt;=$BL$102,($BL$103*(1-(BK158/$BL$102))),AND(BK158&gt;$BL$102,BK158&lt;($AG$55+$BL$102)),0,BK158&gt;=($AG$55+$BL$102),($BL$103*((BK158-($AG$55+$BL$102))/$BL$102))))</f>
        <v>0</v>
      </c>
      <c r="BO158" s="120">
        <f t="shared" si="85"/>
        <v>0</v>
      </c>
      <c r="BP158" s="121">
        <f t="shared" si="86"/>
        <v>0</v>
      </c>
      <c r="BQ158" s="121">
        <f t="shared" si="58"/>
        <v>0</v>
      </c>
      <c r="BR158" s="48">
        <f t="shared" si="87"/>
        <v>0</v>
      </c>
      <c r="BS158" s="48">
        <f t="shared" si="88"/>
        <v>979</v>
      </c>
      <c r="BU158" s="122"/>
      <c r="BW158" s="50">
        <f t="shared" si="64"/>
        <v>780</v>
      </c>
      <c r="BX158" s="50">
        <f t="shared" si="65"/>
        <v>979</v>
      </c>
      <c r="BY158" s="53">
        <f t="shared" si="66"/>
        <v>0</v>
      </c>
      <c r="BZ158" s="53">
        <f t="shared" si="67"/>
        <v>0</v>
      </c>
      <c r="CA158" s="53">
        <f t="shared" si="68"/>
        <v>979</v>
      </c>
      <c r="CC158" s="126">
        <f t="shared" si="54"/>
        <v>1112.9047346354523</v>
      </c>
      <c r="CD158" s="127">
        <f t="shared" si="89"/>
        <v>8.4912928356760755</v>
      </c>
    </row>
    <row r="159" spans="2:82" x14ac:dyDescent="0.35">
      <c r="B159" s="50" t="b">
        <f t="shared" si="22"/>
        <v>1</v>
      </c>
      <c r="C159" s="21">
        <f t="shared" si="90"/>
        <v>105.41111111111118</v>
      </c>
      <c r="D159" s="13">
        <f t="shared" si="91"/>
        <v>3.0534039887152167</v>
      </c>
      <c r="E159" s="143">
        <f t="shared" si="25"/>
        <v>146.73625284692005</v>
      </c>
      <c r="F159" s="52">
        <f t="shared" si="92"/>
        <v>2.0991308061592635</v>
      </c>
      <c r="G159" s="50">
        <f t="shared" si="27"/>
        <v>150.68833398026922</v>
      </c>
      <c r="H159" s="50">
        <f t="shared" si="74"/>
        <v>297.42458682718927</v>
      </c>
      <c r="I159" s="16">
        <f t="shared" si="28"/>
        <v>7.5410830778861042</v>
      </c>
      <c r="J159" s="22">
        <f t="shared" si="29"/>
        <v>3.4175664815738339E-2</v>
      </c>
      <c r="K159" s="15">
        <f t="shared" si="59"/>
        <v>477.319190168717</v>
      </c>
      <c r="L159" s="15">
        <f t="shared" si="75"/>
        <v>322.40404604438839</v>
      </c>
      <c r="M159" s="17">
        <f t="shared" si="30"/>
        <v>0.9225212601278584</v>
      </c>
      <c r="N159" s="15">
        <f t="shared" si="31"/>
        <v>297.42458682718927</v>
      </c>
      <c r="O159" s="17">
        <f t="shared" si="32"/>
        <v>0.9225212601278584</v>
      </c>
      <c r="P159" s="15">
        <f t="shared" si="33"/>
        <v>1</v>
      </c>
      <c r="Q159" s="7">
        <f t="shared" si="34"/>
        <v>7.3048457522391558E-2</v>
      </c>
      <c r="R159" s="17">
        <f t="shared" si="76"/>
        <v>0.9225212601278584</v>
      </c>
      <c r="S159" s="17">
        <f t="shared" si="35"/>
        <v>0.6398131320241599</v>
      </c>
      <c r="T159" s="162">
        <f t="shared" si="36"/>
        <v>1509.1285702471971</v>
      </c>
      <c r="U159" s="162">
        <f>ABS($L159-$L160)*IF($B159,FORECAST($L159,
INDEX($Z$119:$AJ$119,MATCH($L159,$Z$105:$AJ$105,1)):INDEX($Z$119:$AJ$119,MATCH($L159,$Z$105:$AJ$105,1)+1),
INDEX($Z$105:$AJ$105,MATCH($L159,$Z$105:$AJ$105,1)):INDEX($Z$105:$AJ$105,MATCH($L159,$Z$105:$AJ$105,1)+1)),0)</f>
        <v>0</v>
      </c>
      <c r="V159" s="162">
        <f>ABS($L159-$L160)*IF($B159,FORECAST($L159,
INDEX($Z$120:$AJ$120,MATCH($L159,$Z$105:$AJ$105,1)):INDEX($Z$120:$AJ$120,MATCH($L159,$Z$105:$AJ$105,1)+1),
INDEX($Z$105:$AJ$105,MATCH($L159,$Z$105:$AJ$105,1)):INDEX($Z$105:$AJ$105,MATCH($L159,$Z$105:$AJ$105,1)+1)),0)</f>
        <v>1713.9697937273108</v>
      </c>
      <c r="W159" s="162">
        <f>ABS($L159-$L160)*IF($B159,FORECAST($L159,
INDEX($Z$121:$AJ$121,MATCH($L159,$Z$105:$AJ$105,1)):INDEX($Z$121:$AJ$121,MATCH($L159,$Z$105:$AJ$105,1)+1),
INDEX($Z$105:$AJ$105,MATCH($L159,$Z$105:$AJ$105,1)):INDEX($Z$105:$AJ$105,MATCH($L159,$Z$105:$AJ$105,1)+1)),0)</f>
        <v>1793.7202759074157</v>
      </c>
      <c r="X159" s="162">
        <f>ABS($L159-$L160)*IF($B159,FORECAST($L159,
INDEX($Z$122:$AJ$122,MATCH($L159,$Z$105:$AJ$105,1)):INDEX($Z$122:$AJ$122,MATCH($L159,$Z$105:$AJ$105,1)+1),
INDEX($Z$105:$AJ$105,MATCH($L159,$Z$105:$AJ$105,1)):INDEX($Z$105:$AJ$105,MATCH($L159,$Z$105:$AJ$105,1)+1)),0)</f>
        <v>1536.8484562470055</v>
      </c>
      <c r="AM159" s="44">
        <f t="shared" si="93"/>
        <v>795</v>
      </c>
      <c r="AN159" s="45">
        <f t="shared" si="55"/>
        <v>979</v>
      </c>
      <c r="AO159" s="54">
        <f t="shared" si="77"/>
        <v>0.99190003213880118</v>
      </c>
      <c r="AP159" s="54">
        <f t="shared" si="78"/>
        <v>0.99190003213880118</v>
      </c>
      <c r="AQ159" s="54">
        <f t="shared" si="73"/>
        <v>1.9838000642776024</v>
      </c>
      <c r="AR159" s="46">
        <f t="shared" si="79"/>
        <v>6.1976678653025559</v>
      </c>
      <c r="AS159" s="47">
        <f t="shared" si="40"/>
        <v>3.4865072838580202E-4</v>
      </c>
      <c r="AT159" s="47">
        <f t="shared" si="95"/>
        <v>1.2568216552592495E-6</v>
      </c>
      <c r="AU159" s="48">
        <f t="shared" si="41"/>
        <v>238.07709704793805</v>
      </c>
      <c r="AV159" s="48">
        <f t="shared" si="80"/>
        <v>1111.8285228642726</v>
      </c>
      <c r="AW159" s="140">
        <f t="shared" si="42"/>
        <v>247.51406919889129</v>
      </c>
      <c r="AX159" s="53"/>
      <c r="AZ159" s="50">
        <f t="shared" si="43"/>
        <v>297.42458682718927</v>
      </c>
      <c r="BA159" s="50">
        <f t="shared" si="44"/>
        <v>297.42458682718927</v>
      </c>
      <c r="BB159" s="50">
        <f t="shared" si="81"/>
        <v>322.40404604438839</v>
      </c>
      <c r="BD159" s="50">
        <f t="shared" si="82"/>
        <v>795</v>
      </c>
      <c r="BE159" s="50">
        <f t="shared" si="83"/>
        <v>979</v>
      </c>
      <c r="BF159" s="53">
        <f t="shared" si="84"/>
        <v>1.9838000642776024</v>
      </c>
      <c r="BG159" s="53">
        <f t="shared" si="45"/>
        <v>3.4865072838580202E-4</v>
      </c>
      <c r="BH159" s="53">
        <f t="shared" si="46"/>
        <v>1111.8285228642726</v>
      </c>
      <c r="BI159" s="127">
        <f t="shared" si="47"/>
        <v>247.51406919889129</v>
      </c>
      <c r="BK159" s="44">
        <f t="shared" si="94"/>
        <v>795</v>
      </c>
      <c r="BL159" s="45">
        <f t="shared" si="57"/>
        <v>979</v>
      </c>
      <c r="BM159" s="119" cm="1">
        <f t="array" ref="BM159">IF(($AG$51=0),0,
_xlfn.IFS(BK159&lt;=$BL$102,($AG$53*(1-(BK159/$BL$102))),AND(BK159&gt;$BL$102,BK159&lt;($AG$55+$BL$102)),0,BK159&gt;=($AG$55+$BL$102),($AG$53*((BK159-($AG$55+$BL$102))/$BL$102)))-$AG$54)</f>
        <v>0</v>
      </c>
      <c r="BN159" s="119" cm="1">
        <f t="array" ref="BN159">IF(($AG$51=0),0,
_xlfn.IFS(BK159&lt;=$BL$102,($BL$103*(1-(BK159/$BL$102))),AND(BK159&gt;$BL$102,BK159&lt;($AG$55+$BL$102)),0,BK159&gt;=($AG$55+$BL$102),($BL$103*((BK159-($AG$55+$BL$102))/$BL$102))))</f>
        <v>0</v>
      </c>
      <c r="BO159" s="120">
        <f t="shared" si="85"/>
        <v>0</v>
      </c>
      <c r="BP159" s="121">
        <f t="shared" si="86"/>
        <v>0</v>
      </c>
      <c r="BQ159" s="121">
        <f t="shared" si="58"/>
        <v>0</v>
      </c>
      <c r="BR159" s="48">
        <f t="shared" si="87"/>
        <v>0</v>
      </c>
      <c r="BS159" s="48">
        <f t="shared" si="88"/>
        <v>979</v>
      </c>
      <c r="BU159" s="122"/>
      <c r="BW159" s="50">
        <f t="shared" si="64"/>
        <v>795</v>
      </c>
      <c r="BX159" s="50">
        <f t="shared" si="65"/>
        <v>979</v>
      </c>
      <c r="BY159" s="53">
        <f t="shared" si="66"/>
        <v>0</v>
      </c>
      <c r="BZ159" s="53">
        <f t="shared" si="67"/>
        <v>0</v>
      </c>
      <c r="CA159" s="53">
        <f t="shared" si="68"/>
        <v>979</v>
      </c>
      <c r="CC159" s="126">
        <f t="shared" si="54"/>
        <v>1111.8285228642726</v>
      </c>
      <c r="CD159" s="127">
        <f t="shared" si="89"/>
        <v>8.4995121151012398</v>
      </c>
    </row>
    <row r="160" spans="2:82" x14ac:dyDescent="0.35">
      <c r="B160" s="50" t="b">
        <f t="shared" si="22"/>
        <v>1</v>
      </c>
      <c r="C160" s="21">
        <f t="shared" si="90"/>
        <v>107.40000000000008</v>
      </c>
      <c r="D160" s="13">
        <f t="shared" si="91"/>
        <v>3.087579653530955</v>
      </c>
      <c r="E160" s="143">
        <f t="shared" si="25"/>
        <v>141.73322047070053</v>
      </c>
      <c r="F160" s="52">
        <f t="shared" si="92"/>
        <v>2.1380035988659167</v>
      </c>
      <c r="G160" s="50">
        <f t="shared" si="27"/>
        <v>153.47885868360754</v>
      </c>
      <c r="H160" s="50">
        <f t="shared" si="74"/>
        <v>295.21207915430807</v>
      </c>
      <c r="I160" s="16">
        <f t="shared" si="28"/>
        <v>7.2839667752789721</v>
      </c>
      <c r="J160" s="22">
        <f t="shared" si="29"/>
        <v>3.3010431587857436E-2</v>
      </c>
      <c r="K160" s="15">
        <f t="shared" si="59"/>
        <v>469.77910709083085</v>
      </c>
      <c r="L160" s="15">
        <f t="shared" si="75"/>
        <v>317.31111590059498</v>
      </c>
      <c r="M160" s="17">
        <f t="shared" si="30"/>
        <v>0.93035530229199426</v>
      </c>
      <c r="N160" s="15">
        <f t="shared" si="31"/>
        <v>295.21207915430807</v>
      </c>
      <c r="O160" s="17">
        <f t="shared" si="32"/>
        <v>0.93035530229199426</v>
      </c>
      <c r="P160" s="15">
        <f t="shared" si="33"/>
        <v>1</v>
      </c>
      <c r="Q160" s="7">
        <f t="shared" si="34"/>
        <v>7.1883224294510661E-2</v>
      </c>
      <c r="R160" s="17">
        <f t="shared" si="76"/>
        <v>0.93035530229199426</v>
      </c>
      <c r="S160" s="17">
        <f t="shared" si="35"/>
        <v>0.64524641933154447</v>
      </c>
      <c r="T160" s="162">
        <f t="shared" si="36"/>
        <v>1446.7873435494557</v>
      </c>
      <c r="U160" s="162">
        <f>ABS($L160-$L161)*IF($B160,FORECAST($L160,
INDEX($Z$119:$AJ$119,MATCH($L160,$Z$105:$AJ$105,1)):INDEX($Z$119:$AJ$119,MATCH($L160,$Z$105:$AJ$105,1)+1),
INDEX($Z$105:$AJ$105,MATCH($L160,$Z$105:$AJ$105,1)):INDEX($Z$105:$AJ$105,MATCH($L160,$Z$105:$AJ$105,1)+1)),0)</f>
        <v>0</v>
      </c>
      <c r="V160" s="162">
        <f>ABS($L160-$L161)*IF($B160,FORECAST($L160,
INDEX($Z$120:$AJ$120,MATCH($L160,$Z$105:$AJ$105,1)):INDEX($Z$120:$AJ$120,MATCH($L160,$Z$105:$AJ$105,1)+1),
INDEX($Z$105:$AJ$105,MATCH($L160,$Z$105:$AJ$105,1)):INDEX($Z$105:$AJ$105,MATCH($L160,$Z$105:$AJ$105,1)+1)),0)</f>
        <v>1659.5228334409765</v>
      </c>
      <c r="W160" s="162">
        <f>ABS($L160-$L161)*IF($B160,FORECAST($L160,
INDEX($Z$121:$AJ$121,MATCH($L160,$Z$105:$AJ$105,1)):INDEX($Z$121:$AJ$121,MATCH($L160,$Z$105:$AJ$105,1)+1),
INDEX($Z$105:$AJ$105,MATCH($L160,$Z$105:$AJ$105,1)):INDEX($Z$105:$AJ$105,MATCH($L160,$Z$105:$AJ$105,1)+1)),0)</f>
        <v>1731.1354380720145</v>
      </c>
      <c r="X160" s="162">
        <f>ABS($L160-$L161)*IF($B160,FORECAST($L160,
INDEX($Z$122:$AJ$122,MATCH($L160,$Z$105:$AJ$105,1)):INDEX($Z$122:$AJ$122,MATCH($L160,$Z$105:$AJ$105,1)+1),
INDEX($Z$105:$AJ$105,MATCH($L160,$Z$105:$AJ$105,1)):INDEX($Z$105:$AJ$105,MATCH($L160,$Z$105:$AJ$105,1)+1)),0)</f>
        <v>1489.1831247383273</v>
      </c>
      <c r="AM160" s="44">
        <f t="shared" si="93"/>
        <v>810</v>
      </c>
      <c r="AN160" s="45">
        <f t="shared" si="55"/>
        <v>979</v>
      </c>
      <c r="AO160" s="54">
        <f t="shared" si="77"/>
        <v>0.98560005676699802</v>
      </c>
      <c r="AP160" s="54">
        <f t="shared" si="78"/>
        <v>0.98560005676699802</v>
      </c>
      <c r="AQ160" s="54">
        <f t="shared" si="73"/>
        <v>1.971200113533996</v>
      </c>
      <c r="AR160" s="46">
        <f t="shared" si="79"/>
        <v>6.158303863236914</v>
      </c>
      <c r="AS160" s="47">
        <f t="shared" si="40"/>
        <v>3.4643630058963032E-4</v>
      </c>
      <c r="AT160" s="47">
        <f t="shared" si="95"/>
        <v>1.2568218415385424E-6</v>
      </c>
      <c r="AU160" s="48">
        <f t="shared" si="41"/>
        <v>236.57040050216727</v>
      </c>
      <c r="AV160" s="48">
        <f t="shared" si="80"/>
        <v>1110.3218263185017</v>
      </c>
      <c r="AW160" s="140">
        <f t="shared" si="42"/>
        <v>244.68828251010436</v>
      </c>
      <c r="AX160" s="53"/>
      <c r="AZ160" s="50">
        <f t="shared" si="43"/>
        <v>295.21207915430807</v>
      </c>
      <c r="BA160" s="50">
        <f t="shared" si="44"/>
        <v>295.21207915430807</v>
      </c>
      <c r="BB160" s="50">
        <f t="shared" si="81"/>
        <v>317.31111590059498</v>
      </c>
      <c r="BD160" s="50">
        <f t="shared" si="82"/>
        <v>810</v>
      </c>
      <c r="BE160" s="50">
        <f t="shared" si="83"/>
        <v>979</v>
      </c>
      <c r="BF160" s="53">
        <f t="shared" si="84"/>
        <v>1.971200113533996</v>
      </c>
      <c r="BG160" s="53">
        <f t="shared" si="45"/>
        <v>3.4643630058963032E-4</v>
      </c>
      <c r="BH160" s="53">
        <f t="shared" si="46"/>
        <v>1110.3218263185017</v>
      </c>
      <c r="BI160" s="127">
        <f t="shared" si="47"/>
        <v>244.68828251010436</v>
      </c>
      <c r="BK160" s="44">
        <f t="shared" si="94"/>
        <v>810</v>
      </c>
      <c r="BL160" s="45">
        <f t="shared" si="57"/>
        <v>979</v>
      </c>
      <c r="BM160" s="119" cm="1">
        <f t="array" ref="BM160">IF(($AG$51=0),0,
_xlfn.IFS(BK160&lt;=$BL$102,($AG$53*(1-(BK160/$BL$102))),AND(BK160&gt;$BL$102,BK160&lt;($AG$55+$BL$102)),0,BK160&gt;=($AG$55+$BL$102),($AG$53*((BK160-($AG$55+$BL$102))/$BL$102)))-$AG$54)</f>
        <v>0</v>
      </c>
      <c r="BN160" s="119" cm="1">
        <f t="array" ref="BN160">IF(($AG$51=0),0,
_xlfn.IFS(BK160&lt;=$BL$102,($BL$103*(1-(BK160/$BL$102))),AND(BK160&gt;$BL$102,BK160&lt;($AG$55+$BL$102)),0,BK160&gt;=($AG$55+$BL$102),($BL$103*((BK160-($AG$55+$BL$102))/$BL$102))))</f>
        <v>0</v>
      </c>
      <c r="BO160" s="120">
        <f t="shared" si="85"/>
        <v>0</v>
      </c>
      <c r="BP160" s="121">
        <f t="shared" si="86"/>
        <v>0</v>
      </c>
      <c r="BQ160" s="121">
        <f t="shared" si="58"/>
        <v>0</v>
      </c>
      <c r="BR160" s="48">
        <f t="shared" si="87"/>
        <v>0</v>
      </c>
      <c r="BS160" s="48">
        <f t="shared" si="88"/>
        <v>979</v>
      </c>
      <c r="BU160" s="122"/>
      <c r="BW160" s="50">
        <f t="shared" si="64"/>
        <v>810</v>
      </c>
      <c r="BX160" s="50">
        <f t="shared" si="65"/>
        <v>979</v>
      </c>
      <c r="BY160" s="53">
        <f t="shared" si="66"/>
        <v>0</v>
      </c>
      <c r="BZ160" s="53">
        <f t="shared" si="67"/>
        <v>0</v>
      </c>
      <c r="CA160" s="53">
        <f t="shared" si="68"/>
        <v>979</v>
      </c>
      <c r="CC160" s="126">
        <f t="shared" si="54"/>
        <v>1110.3218263185017</v>
      </c>
      <c r="CD160" s="127">
        <f t="shared" si="89"/>
        <v>8.5110458751706251</v>
      </c>
    </row>
    <row r="161" spans="2:82" x14ac:dyDescent="0.35">
      <c r="B161" s="50" t="b">
        <f t="shared" si="22"/>
        <v>1</v>
      </c>
      <c r="C161" s="21">
        <f t="shared" si="90"/>
        <v>109.38888888888897</v>
      </c>
      <c r="D161" s="13">
        <f t="shared" si="91"/>
        <v>3.1205900851188124</v>
      </c>
      <c r="E161" s="143">
        <f t="shared" si="25"/>
        <v>136.73175556529495</v>
      </c>
      <c r="F161" s="52">
        <f t="shared" si="92"/>
        <v>2.17687639157257</v>
      </c>
      <c r="G161" s="50">
        <f t="shared" si="27"/>
        <v>156.26938338694586</v>
      </c>
      <c r="H161" s="50">
        <f t="shared" si="74"/>
        <v>293.00113895224081</v>
      </c>
      <c r="I161" s="16">
        <f t="shared" si="28"/>
        <v>7.0269310282768842</v>
      </c>
      <c r="J161" s="22">
        <f t="shared" si="29"/>
        <v>3.1845563432384379E-2</v>
      </c>
      <c r="K161" s="15">
        <f t="shared" si="59"/>
        <v>462.49614031555183</v>
      </c>
      <c r="L161" s="15">
        <f t="shared" si="75"/>
        <v>312.39185431648218</v>
      </c>
      <c r="M161" s="17">
        <f t="shared" si="30"/>
        <v>0.93792822989361058</v>
      </c>
      <c r="N161" s="15">
        <f t="shared" si="31"/>
        <v>293.00113895224081</v>
      </c>
      <c r="O161" s="17">
        <f t="shared" si="32"/>
        <v>0.93792822989361058</v>
      </c>
      <c r="P161" s="15">
        <f t="shared" si="33"/>
        <v>1</v>
      </c>
      <c r="Q161" s="7">
        <f t="shared" si="34"/>
        <v>7.0718356139037597E-2</v>
      </c>
      <c r="R161" s="17">
        <f t="shared" si="76"/>
        <v>0.93792822989361058</v>
      </c>
      <c r="S161" s="17">
        <f t="shared" si="35"/>
        <v>0.65049861105524609</v>
      </c>
      <c r="T161" s="162">
        <f t="shared" si="36"/>
        <v>1385.2558352150104</v>
      </c>
      <c r="U161" s="162">
        <f>ABS($L161-$L162)*IF($B161,FORECAST($L161,
INDEX($Z$119:$AJ$119,MATCH($L161,$Z$105:$AJ$105,1)):INDEX($Z$119:$AJ$119,MATCH($L161,$Z$105:$AJ$105,1)+1),
INDEX($Z$105:$AJ$105,MATCH($L161,$Z$105:$AJ$105,1)):INDEX($Z$105:$AJ$105,MATCH($L161,$Z$105:$AJ$105,1)+1)),0)</f>
        <v>0</v>
      </c>
      <c r="V161" s="162">
        <f>ABS($L161-$L162)*IF($B161,FORECAST($L161,
INDEX($Z$120:$AJ$120,MATCH($L161,$Z$105:$AJ$105,1)):INDEX($Z$120:$AJ$120,MATCH($L161,$Z$105:$AJ$105,1)+1),
INDEX($Z$105:$AJ$105,MATCH($L161,$Z$105:$AJ$105,1)):INDEX($Z$105:$AJ$105,MATCH($L161,$Z$105:$AJ$105,1)+1)),0)</f>
        <v>1604.680330565456</v>
      </c>
      <c r="W161" s="162">
        <f>ABS($L161-$L162)*IF($B161,FORECAST($L161,
INDEX($Z$121:$AJ$121,MATCH($L161,$Z$105:$AJ$105,1)):INDEX($Z$121:$AJ$121,MATCH($L161,$Z$105:$AJ$105,1)+1),
INDEX($Z$105:$AJ$105,MATCH($L161,$Z$105:$AJ$105,1)):INDEX($Z$105:$AJ$105,MATCH($L161,$Z$105:$AJ$105,1)+1)),0)</f>
        <v>1668.7166151495662</v>
      </c>
      <c r="X161" s="162">
        <f>ABS($L161-$L162)*IF($B161,FORECAST($L161,
INDEX($Z$122:$AJ$122,MATCH($L161,$Z$105:$AJ$105,1)):INDEX($Z$122:$AJ$122,MATCH($L161,$Z$105:$AJ$105,1)+1),
INDEX($Z$105:$AJ$105,MATCH($L161,$Z$105:$AJ$105,1)):INDEX($Z$105:$AJ$105,MATCH($L161,$Z$105:$AJ$105,1)+1)),0)</f>
        <v>1441.0435950884873</v>
      </c>
      <c r="AM161" s="44">
        <f t="shared" si="93"/>
        <v>825</v>
      </c>
      <c r="AN161" s="45">
        <f t="shared" si="55"/>
        <v>979</v>
      </c>
      <c r="AO161" s="54">
        <f t="shared" si="77"/>
        <v>0.97750008797447663</v>
      </c>
      <c r="AP161" s="54">
        <f t="shared" si="78"/>
        <v>0.97750008797447663</v>
      </c>
      <c r="AQ161" s="54">
        <f t="shared" si="73"/>
        <v>1.9550001759489533</v>
      </c>
      <c r="AR161" s="46">
        <f t="shared" si="79"/>
        <v>6.1076930005806069</v>
      </c>
      <c r="AS161" s="47">
        <f t="shared" si="40"/>
        <v>3.4358917897665342E-4</v>
      </c>
      <c r="AT161" s="47">
        <f t="shared" si="95"/>
        <v>1.2568220904752806E-6</v>
      </c>
      <c r="AU161" s="48">
        <f t="shared" si="41"/>
        <v>234.63321912607438</v>
      </c>
      <c r="AV161" s="48">
        <f t="shared" si="80"/>
        <v>1108.3846449424091</v>
      </c>
      <c r="AW161" s="140">
        <f t="shared" si="42"/>
        <v>241.05512799081211</v>
      </c>
      <c r="AX161" s="53"/>
      <c r="AZ161" s="50">
        <f t="shared" si="43"/>
        <v>293.00113895224081</v>
      </c>
      <c r="BA161" s="50">
        <f t="shared" si="44"/>
        <v>293.00113895224081</v>
      </c>
      <c r="BB161" s="50">
        <f t="shared" si="81"/>
        <v>312.39185431648218</v>
      </c>
      <c r="BD161" s="50">
        <f t="shared" si="82"/>
        <v>825</v>
      </c>
      <c r="BE161" s="50">
        <f t="shared" si="83"/>
        <v>979</v>
      </c>
      <c r="BF161" s="53">
        <f t="shared" si="84"/>
        <v>1.9550001759489533</v>
      </c>
      <c r="BG161" s="53">
        <f t="shared" si="45"/>
        <v>3.4358917897665342E-4</v>
      </c>
      <c r="BH161" s="53">
        <f t="shared" si="46"/>
        <v>1108.3846449424091</v>
      </c>
      <c r="BI161" s="127">
        <f t="shared" si="47"/>
        <v>241.05512799081211</v>
      </c>
      <c r="BK161" s="44">
        <f t="shared" si="94"/>
        <v>825</v>
      </c>
      <c r="BL161" s="45">
        <f t="shared" si="57"/>
        <v>979</v>
      </c>
      <c r="BM161" s="119" cm="1">
        <f t="array" ref="BM161">IF(($AG$51=0),0,
_xlfn.IFS(BK161&lt;=$BL$102,($AG$53*(1-(BK161/$BL$102))),AND(BK161&gt;$BL$102,BK161&lt;($AG$55+$BL$102)),0,BK161&gt;=($AG$55+$BL$102),($AG$53*((BK161-($AG$55+$BL$102))/$BL$102)))-$AG$54)</f>
        <v>0</v>
      </c>
      <c r="BN161" s="119" cm="1">
        <f t="array" ref="BN161">IF(($AG$51=0),0,
_xlfn.IFS(BK161&lt;=$BL$102,($BL$103*(1-(BK161/$BL$102))),AND(BK161&gt;$BL$102,BK161&lt;($AG$55+$BL$102)),0,BK161&gt;=($AG$55+$BL$102),($BL$103*((BK161-($AG$55+$BL$102))/$BL$102))))</f>
        <v>0</v>
      </c>
      <c r="BO161" s="120">
        <f t="shared" si="85"/>
        <v>0</v>
      </c>
      <c r="BP161" s="121">
        <f t="shared" si="86"/>
        <v>0</v>
      </c>
      <c r="BQ161" s="121">
        <f t="shared" si="58"/>
        <v>0</v>
      </c>
      <c r="BR161" s="48">
        <f t="shared" si="87"/>
        <v>0</v>
      </c>
      <c r="BS161" s="48">
        <f t="shared" si="88"/>
        <v>979</v>
      </c>
      <c r="BU161" s="122"/>
      <c r="BW161" s="50">
        <f t="shared" si="64"/>
        <v>825</v>
      </c>
      <c r="BX161" s="50">
        <f t="shared" si="65"/>
        <v>979</v>
      </c>
      <c r="BY161" s="53">
        <f t="shared" si="66"/>
        <v>0</v>
      </c>
      <c r="BZ161" s="53">
        <f t="shared" si="67"/>
        <v>0</v>
      </c>
      <c r="CA161" s="53">
        <f t="shared" si="68"/>
        <v>979</v>
      </c>
      <c r="CC161" s="126">
        <f t="shared" si="54"/>
        <v>1108.3846449424091</v>
      </c>
      <c r="CD161" s="127">
        <f t="shared" si="89"/>
        <v>8.5259210718234151</v>
      </c>
    </row>
    <row r="162" spans="2:82" x14ac:dyDescent="0.35">
      <c r="B162" s="50" t="b">
        <f t="shared" si="22"/>
        <v>1</v>
      </c>
      <c r="C162" s="21">
        <f t="shared" si="90"/>
        <v>111.37777777777787</v>
      </c>
      <c r="D162" s="13">
        <f t="shared" si="91"/>
        <v>3.1524356485511968</v>
      </c>
      <c r="E162" s="143">
        <f t="shared" si="25"/>
        <v>131.7395213894147</v>
      </c>
      <c r="F162" s="52">
        <f t="shared" si="92"/>
        <v>2.2157491842792232</v>
      </c>
      <c r="G162" s="50">
        <f t="shared" si="27"/>
        <v>159.05990809028421</v>
      </c>
      <c r="H162" s="50">
        <f t="shared" si="74"/>
        <v>290.79942947969892</v>
      </c>
      <c r="I162" s="16">
        <f t="shared" si="28"/>
        <v>6.7703696677803098</v>
      </c>
      <c r="J162" s="22">
        <f t="shared" si="29"/>
        <v>3.0682845163610365E-2</v>
      </c>
      <c r="K162" s="15">
        <f t="shared" si="59"/>
        <v>455.47020928727494</v>
      </c>
      <c r="L162" s="15">
        <f t="shared" si="75"/>
        <v>307.64620688096926</v>
      </c>
      <c r="M162" s="17">
        <f t="shared" si="30"/>
        <v>0.94523976884984484</v>
      </c>
      <c r="N162" s="15">
        <f t="shared" si="31"/>
        <v>290.79942947969892</v>
      </c>
      <c r="O162" s="17">
        <f t="shared" si="32"/>
        <v>0.94523976884984484</v>
      </c>
      <c r="P162" s="15">
        <f t="shared" si="33"/>
        <v>1</v>
      </c>
      <c r="Q162" s="7">
        <f t="shared" si="34"/>
        <v>6.9555637870263587E-2</v>
      </c>
      <c r="R162" s="17">
        <f t="shared" si="76"/>
        <v>0.94523976884984484</v>
      </c>
      <c r="S162" s="17">
        <f t="shared" si="35"/>
        <v>0.65556951710553757</v>
      </c>
      <c r="T162" s="162">
        <f t="shared" si="36"/>
        <v>1324.6420534607626</v>
      </c>
      <c r="U162" s="162">
        <f>ABS($L162-$L163)*IF($B162,FORECAST($L162,
INDEX($Z$119:$AJ$119,MATCH($L162,$Z$105:$AJ$105,1)):INDEX($Z$119:$AJ$119,MATCH($L162,$Z$105:$AJ$105,1)+1),
INDEX($Z$105:$AJ$105,MATCH($L162,$Z$105:$AJ$105,1)):INDEX($Z$105:$AJ$105,MATCH($L162,$Z$105:$AJ$105,1)+1)),0)</f>
        <v>0</v>
      </c>
      <c r="V162" s="162">
        <f>ABS($L162-$L163)*IF($B162,FORECAST($L162,
INDEX($Z$120:$AJ$120,MATCH($L162,$Z$105:$AJ$105,1)):INDEX($Z$120:$AJ$120,MATCH($L162,$Z$105:$AJ$105,1)+1),
INDEX($Z$105:$AJ$105,MATCH($L162,$Z$105:$AJ$105,1)):INDEX($Z$105:$AJ$105,MATCH($L162,$Z$105:$AJ$105,1)+1)),0)</f>
        <v>1549.5470423030745</v>
      </c>
      <c r="W162" s="162">
        <f>ABS($L162-$L163)*IF($B162,FORECAST($L162,
INDEX($Z$121:$AJ$121,MATCH($L162,$Z$105:$AJ$105,1)):INDEX($Z$121:$AJ$121,MATCH($L162,$Z$105:$AJ$105,1)+1),
INDEX($Z$105:$AJ$105,MATCH($L162,$Z$105:$AJ$105,1)):INDEX($Z$105:$AJ$105,MATCH($L162,$Z$105:$AJ$105,1)+1)),0)</f>
        <v>1606.5520905665323</v>
      </c>
      <c r="X162" s="162">
        <f>ABS($L162-$L163)*IF($B162,FORECAST($L162,
INDEX($Z$122:$AJ$122,MATCH($L162,$Z$105:$AJ$105,1)):INDEX($Z$122:$AJ$122,MATCH($L162,$Z$105:$AJ$105,1)+1),
INDEX($Z$105:$AJ$105,MATCH($L162,$Z$105:$AJ$105,1)):INDEX($Z$105:$AJ$105,MATCH($L162,$Z$105:$AJ$105,1)+1)),0)</f>
        <v>1392.5281987769099</v>
      </c>
      <c r="AM162" s="44">
        <f t="shared" si="93"/>
        <v>840</v>
      </c>
      <c r="AN162" s="45">
        <f t="shared" si="55"/>
        <v>979</v>
      </c>
      <c r="AO162" s="54">
        <f t="shared" si="77"/>
        <v>0.96760012539743911</v>
      </c>
      <c r="AP162" s="54">
        <f t="shared" si="78"/>
        <v>0.96760012539743911</v>
      </c>
      <c r="AQ162" s="54">
        <f t="shared" si="73"/>
        <v>1.9352002507948782</v>
      </c>
      <c r="AR162" s="46">
        <f t="shared" si="79"/>
        <v>6.045835275060524</v>
      </c>
      <c r="AS162" s="47">
        <f t="shared" si="40"/>
        <v>3.4010936341899721E-4</v>
      </c>
      <c r="AT162" s="47">
        <f t="shared" si="95"/>
        <v>1.2568223868286075E-6</v>
      </c>
      <c r="AU162" s="48">
        <f t="shared" si="41"/>
        <v>232.26555282228387</v>
      </c>
      <c r="AV162" s="48">
        <f t="shared" si="80"/>
        <v>1106.0169786386182</v>
      </c>
      <c r="AW162" s="140">
        <f t="shared" si="42"/>
        <v>236.61460547783685</v>
      </c>
      <c r="AX162" s="53"/>
      <c r="AZ162" s="50">
        <f t="shared" si="43"/>
        <v>290.79942947969892</v>
      </c>
      <c r="BA162" s="50">
        <f t="shared" si="44"/>
        <v>290.79942947969892</v>
      </c>
      <c r="BB162" s="50">
        <f t="shared" si="81"/>
        <v>307.64620688096926</v>
      </c>
      <c r="BD162" s="50">
        <f t="shared" si="82"/>
        <v>840</v>
      </c>
      <c r="BE162" s="50">
        <f t="shared" si="83"/>
        <v>979</v>
      </c>
      <c r="BF162" s="53">
        <f t="shared" si="84"/>
        <v>1.9352002507948782</v>
      </c>
      <c r="BG162" s="53">
        <f t="shared" si="45"/>
        <v>3.4010936341899721E-4</v>
      </c>
      <c r="BH162" s="53">
        <f t="shared" si="46"/>
        <v>1106.0169786386182</v>
      </c>
      <c r="BI162" s="127">
        <f t="shared" si="47"/>
        <v>236.61460547783685</v>
      </c>
      <c r="BK162" s="44">
        <f t="shared" si="94"/>
        <v>840</v>
      </c>
      <c r="BL162" s="45">
        <f t="shared" si="57"/>
        <v>979</v>
      </c>
      <c r="BM162" s="119" cm="1">
        <f t="array" ref="BM162">IF(($AG$51=0),0,
_xlfn.IFS(BK162&lt;=$BL$102,($AG$53*(1-(BK162/$BL$102))),AND(BK162&gt;$BL$102,BK162&lt;($AG$55+$BL$102)),0,BK162&gt;=($AG$55+$BL$102),($AG$53*((BK162-($AG$55+$BL$102))/$BL$102)))-$AG$54)</f>
        <v>0</v>
      </c>
      <c r="BN162" s="119" cm="1">
        <f t="array" ref="BN162">IF(($AG$51=0),0,
_xlfn.IFS(BK162&lt;=$BL$102,($BL$103*(1-(BK162/$BL$102))),AND(BK162&gt;$BL$102,BK162&lt;($AG$55+$BL$102)),0,BK162&gt;=($AG$55+$BL$102),($BL$103*((BK162-($AG$55+$BL$102))/$BL$102))))</f>
        <v>0</v>
      </c>
      <c r="BO162" s="120">
        <f t="shared" si="85"/>
        <v>0</v>
      </c>
      <c r="BP162" s="121">
        <f t="shared" si="86"/>
        <v>0</v>
      </c>
      <c r="BQ162" s="121">
        <f t="shared" si="58"/>
        <v>0</v>
      </c>
      <c r="BR162" s="48">
        <f t="shared" si="87"/>
        <v>0</v>
      </c>
      <c r="BS162" s="48">
        <f t="shared" si="88"/>
        <v>979</v>
      </c>
      <c r="BU162" s="122"/>
      <c r="BW162" s="50">
        <f t="shared" si="64"/>
        <v>840</v>
      </c>
      <c r="BX162" s="50">
        <f t="shared" si="65"/>
        <v>979</v>
      </c>
      <c r="BY162" s="53">
        <f t="shared" si="66"/>
        <v>0</v>
      </c>
      <c r="BZ162" s="53">
        <f t="shared" si="67"/>
        <v>0</v>
      </c>
      <c r="CA162" s="53">
        <f t="shared" si="68"/>
        <v>979</v>
      </c>
      <c r="CC162" s="126">
        <f t="shared" si="54"/>
        <v>1106.0169786386182</v>
      </c>
      <c r="CD162" s="127">
        <f t="shared" si="89"/>
        <v>8.5441726325321703</v>
      </c>
    </row>
    <row r="163" spans="2:82" x14ac:dyDescent="0.35">
      <c r="B163" s="50" t="b">
        <f t="shared" si="22"/>
        <v>1</v>
      </c>
      <c r="C163" s="21">
        <f t="shared" si="90"/>
        <v>113.36666666666676</v>
      </c>
      <c r="D163" s="13">
        <f t="shared" si="91"/>
        <v>3.1831184937148072</v>
      </c>
      <c r="E163" s="143">
        <f t="shared" si="25"/>
        <v>126.76377781282019</v>
      </c>
      <c r="F163" s="52">
        <f t="shared" si="92"/>
        <v>2.2546219769858764</v>
      </c>
      <c r="G163" s="50">
        <f t="shared" si="27"/>
        <v>161.85043279362253</v>
      </c>
      <c r="H163" s="50">
        <f t="shared" si="74"/>
        <v>288.61421060644273</v>
      </c>
      <c r="I163" s="16">
        <f t="shared" si="28"/>
        <v>6.514655793687437</v>
      </c>
      <c r="J163" s="22">
        <f t="shared" si="29"/>
        <v>2.9523967644363928E-2</v>
      </c>
      <c r="K163" s="15">
        <f t="shared" si="59"/>
        <v>448.70083961949462</v>
      </c>
      <c r="L163" s="15">
        <f t="shared" si="75"/>
        <v>303.0738531708846</v>
      </c>
      <c r="M163" s="17">
        <f t="shared" si="30"/>
        <v>0.95229003619692332</v>
      </c>
      <c r="N163" s="15">
        <f t="shared" si="31"/>
        <v>288.61421060644273</v>
      </c>
      <c r="O163" s="17">
        <f t="shared" si="32"/>
        <v>0.95229003619692332</v>
      </c>
      <c r="P163" s="15">
        <f t="shared" si="33"/>
        <v>1</v>
      </c>
      <c r="Q163" s="7">
        <f t="shared" si="34"/>
        <v>6.8396760351017161E-2</v>
      </c>
      <c r="R163" s="17">
        <f t="shared" si="76"/>
        <v>0.95229003619692332</v>
      </c>
      <c r="S163" s="17">
        <f t="shared" si="35"/>
        <v>0.66045921865270496</v>
      </c>
      <c r="T163" s="162">
        <f t="shared" si="36"/>
        <v>1265.0406937903745</v>
      </c>
      <c r="U163" s="162">
        <f>ABS($L163-$L164)*IF($B163,FORECAST($L163,
INDEX($Z$119:$AJ$119,MATCH($L163,$Z$105:$AJ$105,1)):INDEX($Z$119:$AJ$119,MATCH($L163,$Z$105:$AJ$105,1)+1),
INDEX($Z$105:$AJ$105,MATCH($L163,$Z$105:$AJ$105,1)):INDEX($Z$105:$AJ$105,MATCH($L163,$Z$105:$AJ$105,1)+1)),0)</f>
        <v>0</v>
      </c>
      <c r="V163" s="162">
        <f>ABS($L163-$L164)*IF($B163,FORECAST($L163,
INDEX($Z$120:$AJ$120,MATCH($L163,$Z$105:$AJ$105,1)):INDEX($Z$120:$AJ$120,MATCH($L163,$Z$105:$AJ$105,1)+1),
INDEX($Z$105:$AJ$105,MATCH($L163,$Z$105:$AJ$105,1)):INDEX($Z$105:$AJ$105,MATCH($L163,$Z$105:$AJ$105,1)+1)),0)</f>
        <v>1494.2239185268179</v>
      </c>
      <c r="W163" s="162">
        <f>ABS($L163-$L164)*IF($B163,FORECAST($L163,
INDEX($Z$121:$AJ$121,MATCH($L163,$Z$105:$AJ$105,1)):INDEX($Z$121:$AJ$121,MATCH($L163,$Z$105:$AJ$105,1)+1),
INDEX($Z$105:$AJ$105,MATCH($L163,$Z$105:$AJ$105,1)):INDEX($Z$105:$AJ$105,MATCH($L163,$Z$105:$AJ$105,1)+1)),0)</f>
        <v>1544.7248948498698</v>
      </c>
      <c r="X163" s="162">
        <f>ABS($L163-$L164)*IF($B163,FORECAST($L163,
INDEX($Z$122:$AJ$122,MATCH($L163,$Z$105:$AJ$105,1)):INDEX($Z$122:$AJ$122,MATCH($L163,$Z$105:$AJ$105,1)+1),
INDEX($Z$105:$AJ$105,MATCH($L163,$Z$105:$AJ$105,1)):INDEX($Z$105:$AJ$105,MATCH($L163,$Z$105:$AJ$105,1)+1)),0)</f>
        <v>1343.7321148245378</v>
      </c>
      <c r="AM163" s="44">
        <f t="shared" si="93"/>
        <v>855</v>
      </c>
      <c r="AN163" s="45">
        <f t="shared" si="55"/>
        <v>979</v>
      </c>
      <c r="AO163" s="54">
        <f t="shared" si="77"/>
        <v>0.95590016861387994</v>
      </c>
      <c r="AP163" s="54">
        <f t="shared" si="78"/>
        <v>0.95590016861387994</v>
      </c>
      <c r="AQ163" s="54">
        <f t="shared" si="73"/>
        <v>1.9118003372277599</v>
      </c>
      <c r="AR163" s="46">
        <f t="shared" si="79"/>
        <v>5.972730684039858</v>
      </c>
      <c r="AS163" s="47">
        <f t="shared" si="40"/>
        <v>3.359968537683276E-4</v>
      </c>
      <c r="AT163" s="47">
        <f t="shared" si="95"/>
        <v>1.2568227356787461E-6</v>
      </c>
      <c r="AU163" s="48">
        <f t="shared" si="41"/>
        <v>229.46740149332589</v>
      </c>
      <c r="AV163" s="48">
        <f t="shared" si="80"/>
        <v>1103.2188273096604</v>
      </c>
      <c r="AW163" s="140">
        <f t="shared" si="42"/>
        <v>231.36671478189263</v>
      </c>
      <c r="AX163" s="53"/>
      <c r="AZ163" s="50">
        <f t="shared" si="43"/>
        <v>288.61421060644273</v>
      </c>
      <c r="BA163" s="50">
        <f t="shared" si="44"/>
        <v>288.61421060644273</v>
      </c>
      <c r="BB163" s="50">
        <f t="shared" si="81"/>
        <v>303.0738531708846</v>
      </c>
      <c r="BD163" s="50">
        <f t="shared" si="82"/>
        <v>855</v>
      </c>
      <c r="BE163" s="50">
        <f t="shared" si="83"/>
        <v>979</v>
      </c>
      <c r="BF163" s="53">
        <f t="shared" si="84"/>
        <v>1.9118003372277599</v>
      </c>
      <c r="BG163" s="53">
        <f t="shared" si="45"/>
        <v>3.359968537683276E-4</v>
      </c>
      <c r="BH163" s="53">
        <f t="shared" si="46"/>
        <v>1103.2188273096604</v>
      </c>
      <c r="BI163" s="127">
        <f t="shared" si="47"/>
        <v>231.36671478189263</v>
      </c>
      <c r="BK163" s="44">
        <f t="shared" si="94"/>
        <v>855</v>
      </c>
      <c r="BL163" s="45">
        <f t="shared" si="57"/>
        <v>979</v>
      </c>
      <c r="BM163" s="119" cm="1">
        <f t="array" ref="BM163">IF(($AG$51=0),0,
_xlfn.IFS(BK163&lt;=$BL$102,($AG$53*(1-(BK163/$BL$102))),AND(BK163&gt;$BL$102,BK163&lt;($AG$55+$BL$102)),0,BK163&gt;=($AG$55+$BL$102),($AG$53*((BK163-($AG$55+$BL$102))/$BL$102)))-$AG$54)</f>
        <v>0</v>
      </c>
      <c r="BN163" s="119" cm="1">
        <f t="array" ref="BN163">IF(($AG$51=0),0,
_xlfn.IFS(BK163&lt;=$BL$102,($BL$103*(1-(BK163/$BL$102))),AND(BK163&gt;$BL$102,BK163&lt;($AG$55+$BL$102)),0,BK163&gt;=($AG$55+$BL$102),($BL$103*((BK163-($AG$55+$BL$102))/$BL$102))))</f>
        <v>0</v>
      </c>
      <c r="BO163" s="120">
        <f t="shared" si="85"/>
        <v>0</v>
      </c>
      <c r="BP163" s="121">
        <f t="shared" si="86"/>
        <v>0</v>
      </c>
      <c r="BQ163" s="121">
        <f t="shared" si="58"/>
        <v>0</v>
      </c>
      <c r="BR163" s="48">
        <f t="shared" si="87"/>
        <v>0</v>
      </c>
      <c r="BS163" s="48">
        <f t="shared" si="88"/>
        <v>979</v>
      </c>
      <c r="BU163" s="122"/>
      <c r="BW163" s="50">
        <f t="shared" si="64"/>
        <v>855</v>
      </c>
      <c r="BX163" s="50">
        <f t="shared" si="65"/>
        <v>979</v>
      </c>
      <c r="BY163" s="53">
        <f t="shared" si="66"/>
        <v>0</v>
      </c>
      <c r="BZ163" s="53">
        <f t="shared" si="67"/>
        <v>0</v>
      </c>
      <c r="CA163" s="53">
        <f t="shared" si="68"/>
        <v>979</v>
      </c>
      <c r="CC163" s="126">
        <f t="shared" si="54"/>
        <v>1103.2188273096604</v>
      </c>
      <c r="CD163" s="127">
        <f t="shared" si="89"/>
        <v>8.5658436622632959</v>
      </c>
    </row>
    <row r="164" spans="2:82" x14ac:dyDescent="0.35">
      <c r="B164" s="50" t="b">
        <f t="shared" si="22"/>
        <v>1</v>
      </c>
      <c r="C164" s="21">
        <f t="shared" si="90"/>
        <v>115.35555555555565</v>
      </c>
      <c r="D164" s="13">
        <f t="shared" si="91"/>
        <v>3.2126424613591711</v>
      </c>
      <c r="E164" s="143">
        <f t="shared" si="25"/>
        <v>121.81137101943665</v>
      </c>
      <c r="F164" s="52">
        <f t="shared" si="92"/>
        <v>2.2934947696925296</v>
      </c>
      <c r="G164" s="50">
        <f t="shared" si="27"/>
        <v>164.64095749696088</v>
      </c>
      <c r="H164" s="50">
        <f t="shared" si="74"/>
        <v>286.45232851639753</v>
      </c>
      <c r="I164" s="16">
        <f t="shared" si="28"/>
        <v>6.2601412457157508</v>
      </c>
      <c r="J164" s="22">
        <f t="shared" si="29"/>
        <v>2.8370525387811072E-2</v>
      </c>
      <c r="K164" s="15">
        <f t="shared" si="59"/>
        <v>442.18718382580715</v>
      </c>
      <c r="L164" s="15">
        <f t="shared" si="75"/>
        <v>298.67422075366915</v>
      </c>
      <c r="M164" s="17">
        <f t="shared" si="30"/>
        <v>0.95907952080219339</v>
      </c>
      <c r="N164" s="15">
        <f t="shared" si="31"/>
        <v>286.45232851639753</v>
      </c>
      <c r="O164" s="17">
        <f t="shared" si="32"/>
        <v>0.95907952080219339</v>
      </c>
      <c r="P164" s="15">
        <f t="shared" si="33"/>
        <v>1</v>
      </c>
      <c r="Q164" s="7">
        <f t="shared" si="34"/>
        <v>6.7243318094464294E-2</v>
      </c>
      <c r="R164" s="17">
        <f t="shared" si="76"/>
        <v>0.95907952080219339</v>
      </c>
      <c r="S164" s="17">
        <f t="shared" si="35"/>
        <v>0.66516805474990837</v>
      </c>
      <c r="T164" s="162">
        <f t="shared" si="36"/>
        <v>1206.5335797949929</v>
      </c>
      <c r="U164" s="162">
        <f>ABS($L164-$L165)*IF($B164,FORECAST($L164,
INDEX($Z$119:$AJ$119,MATCH($L164,$Z$105:$AJ$105,1)):INDEX($Z$119:$AJ$119,MATCH($L164,$Z$105:$AJ$105,1)+1),
INDEX($Z$105:$AJ$105,MATCH($L164,$Z$105:$AJ$105,1)):INDEX($Z$105:$AJ$105,MATCH($L164,$Z$105:$AJ$105,1)+1)),0)</f>
        <v>0</v>
      </c>
      <c r="V164" s="162">
        <f>ABS($L164-$L165)*IF($B164,FORECAST($L164,
INDEX($Z$120:$AJ$120,MATCH($L164,$Z$105:$AJ$105,1)):INDEX($Z$120:$AJ$120,MATCH($L164,$Z$105:$AJ$105,1)+1),
INDEX($Z$105:$AJ$105,MATCH($L164,$Z$105:$AJ$105,1)):INDEX($Z$105:$AJ$105,MATCH($L164,$Z$105:$AJ$105,1)+1)),0)</f>
        <v>1438.5408350235241</v>
      </c>
      <c r="W164" s="162">
        <f>ABS($L164-$L165)*IF($B164,FORECAST($L164,
INDEX($Z$121:$AJ$121,MATCH($L164,$Z$105:$AJ$105,1)):INDEX($Z$121:$AJ$121,MATCH($L164,$Z$105:$AJ$105,1)+1),
INDEX($Z$105:$AJ$105,MATCH($L164,$Z$105:$AJ$105,1)):INDEX($Z$105:$AJ$105,MATCH($L164,$Z$105:$AJ$105,1)+1)),0)</f>
        <v>1484.0126510341693</v>
      </c>
      <c r="X164" s="162">
        <f>ABS($L164-$L165)*IF($B164,FORECAST($L164,
INDEX($Z$122:$AJ$122,MATCH($L164,$Z$105:$AJ$105,1)):INDEX($Z$122:$AJ$122,MATCH($L164,$Z$105:$AJ$105,1)+1),
INDEX($Z$105:$AJ$105,MATCH($L164,$Z$105:$AJ$105,1)):INDEX($Z$105:$AJ$105,MATCH($L164,$Z$105:$AJ$105,1)+1)),0)</f>
        <v>1294.5522396756987</v>
      </c>
      <c r="AM164" s="44">
        <f t="shared" si="93"/>
        <v>870</v>
      </c>
      <c r="AN164" s="45">
        <f t="shared" si="55"/>
        <v>979</v>
      </c>
      <c r="AO164" s="54">
        <f t="shared" si="77"/>
        <v>0.94240021712903399</v>
      </c>
      <c r="AP164" s="54">
        <f t="shared" si="78"/>
        <v>0.94240021712903399</v>
      </c>
      <c r="AQ164" s="54">
        <f t="shared" si="73"/>
        <v>1.884800434258068</v>
      </c>
      <c r="AR164" s="46">
        <f t="shared" si="79"/>
        <v>5.888379224427176</v>
      </c>
      <c r="AS164" s="47">
        <f t="shared" si="40"/>
        <v>3.3125164985073574E-4</v>
      </c>
      <c r="AT164" s="47">
        <f t="shared" si="95"/>
        <v>1.256823148879895E-6</v>
      </c>
      <c r="AU164" s="48">
        <f t="shared" si="41"/>
        <v>226.23876502893847</v>
      </c>
      <c r="AV164" s="48">
        <f t="shared" si="80"/>
        <v>1099.990190845273</v>
      </c>
      <c r="AW164" s="140">
        <f t="shared" si="42"/>
        <v>225.31145568105762</v>
      </c>
      <c r="AX164" s="53"/>
      <c r="AZ164" s="50">
        <f t="shared" si="43"/>
        <v>286.45232851639753</v>
      </c>
      <c r="BA164" s="50">
        <f t="shared" si="44"/>
        <v>286.45232851639753</v>
      </c>
      <c r="BB164" s="50">
        <f t="shared" si="81"/>
        <v>298.67422075366915</v>
      </c>
      <c r="BD164" s="50">
        <f t="shared" si="82"/>
        <v>870</v>
      </c>
      <c r="BE164" s="50">
        <f t="shared" si="83"/>
        <v>979</v>
      </c>
      <c r="BF164" s="53">
        <f t="shared" si="84"/>
        <v>1.884800434258068</v>
      </c>
      <c r="BG164" s="53">
        <f t="shared" si="45"/>
        <v>3.3125164985073574E-4</v>
      </c>
      <c r="BH164" s="53">
        <f t="shared" si="46"/>
        <v>1099.990190845273</v>
      </c>
      <c r="BI164" s="127">
        <f t="shared" si="47"/>
        <v>225.31145568105762</v>
      </c>
      <c r="BK164" s="44">
        <f t="shared" si="94"/>
        <v>870</v>
      </c>
      <c r="BL164" s="45">
        <f t="shared" si="57"/>
        <v>979</v>
      </c>
      <c r="BM164" s="119" cm="1">
        <f t="array" ref="BM164">IF(($AG$51=0),0,
_xlfn.IFS(BK164&lt;=$BL$102,($AG$53*(1-(BK164/$BL$102))),AND(BK164&gt;$BL$102,BK164&lt;($AG$55+$BL$102)),0,BK164&gt;=($AG$55+$BL$102),($AG$53*((BK164-($AG$55+$BL$102))/$BL$102)))-$AG$54)</f>
        <v>0</v>
      </c>
      <c r="BN164" s="119" cm="1">
        <f t="array" ref="BN164">IF(($AG$51=0),0,
_xlfn.IFS(BK164&lt;=$BL$102,($BL$103*(1-(BK164/$BL$102))),AND(BK164&gt;$BL$102,BK164&lt;($AG$55+$BL$102)),0,BK164&gt;=($AG$55+$BL$102),($BL$103*((BK164-($AG$55+$BL$102))/$BL$102))))</f>
        <v>0</v>
      </c>
      <c r="BO164" s="120">
        <f t="shared" si="85"/>
        <v>0</v>
      </c>
      <c r="BP164" s="121">
        <f t="shared" si="86"/>
        <v>0</v>
      </c>
      <c r="BQ164" s="121">
        <f t="shared" si="58"/>
        <v>0</v>
      </c>
      <c r="BR164" s="48">
        <f t="shared" si="87"/>
        <v>0</v>
      </c>
      <c r="BS164" s="48">
        <f t="shared" si="88"/>
        <v>979</v>
      </c>
      <c r="BU164" s="122"/>
      <c r="BW164" s="50">
        <f t="shared" si="64"/>
        <v>870</v>
      </c>
      <c r="BX164" s="50">
        <f t="shared" si="65"/>
        <v>979</v>
      </c>
      <c r="BY164" s="53">
        <f t="shared" si="66"/>
        <v>0</v>
      </c>
      <c r="BZ164" s="53">
        <f t="shared" si="67"/>
        <v>0</v>
      </c>
      <c r="CA164" s="53">
        <f t="shared" si="68"/>
        <v>979</v>
      </c>
      <c r="CC164" s="126">
        <f t="shared" si="54"/>
        <v>1099.990190845273</v>
      </c>
      <c r="CD164" s="127">
        <f t="shared" si="89"/>
        <v>8.5909857002799921</v>
      </c>
    </row>
    <row r="165" spans="2:82" x14ac:dyDescent="0.35">
      <c r="B165" s="50" t="b">
        <f t="shared" si="22"/>
        <v>1</v>
      </c>
      <c r="C165" s="21">
        <f t="shared" si="90"/>
        <v>117.34444444444455</v>
      </c>
      <c r="D165" s="13">
        <f t="shared" si="91"/>
        <v>3.2410129867469823</v>
      </c>
      <c r="E165" s="143">
        <f t="shared" si="25"/>
        <v>116.88872652525802</v>
      </c>
      <c r="F165" s="52">
        <f t="shared" si="92"/>
        <v>2.3323675623991829</v>
      </c>
      <c r="G165" s="50">
        <f t="shared" si="27"/>
        <v>167.4314822002992</v>
      </c>
      <c r="H165" s="50">
        <f t="shared" si="74"/>
        <v>284.32020872555722</v>
      </c>
      <c r="I165" s="16">
        <f t="shared" si="28"/>
        <v>6.0071562445775077</v>
      </c>
      <c r="J165" s="22">
        <f t="shared" si="29"/>
        <v>2.7224014931287448E-2</v>
      </c>
      <c r="K165" s="15">
        <f t="shared" si="59"/>
        <v>435.92804258009136</v>
      </c>
      <c r="L165" s="15">
        <f t="shared" si="75"/>
        <v>294.44649954751191</v>
      </c>
      <c r="M165" s="17">
        <f t="shared" si="30"/>
        <v>0.96560906365836863</v>
      </c>
      <c r="N165" s="15">
        <f t="shared" si="31"/>
        <v>284.32020872555722</v>
      </c>
      <c r="O165" s="17">
        <f t="shared" si="32"/>
        <v>0.96560906365836863</v>
      </c>
      <c r="P165" s="15">
        <f t="shared" si="33"/>
        <v>1</v>
      </c>
      <c r="Q165" s="7">
        <f t="shared" si="34"/>
        <v>6.609680763794068E-2</v>
      </c>
      <c r="R165" s="17">
        <f t="shared" si="76"/>
        <v>0.96560906365836863</v>
      </c>
      <c r="S165" s="17">
        <f t="shared" si="35"/>
        <v>0.669696608666288</v>
      </c>
      <c r="T165" s="162">
        <f t="shared" si="36"/>
        <v>1149.1901889442331</v>
      </c>
      <c r="U165" s="162">
        <f>ABS($L165-$L166)*IF($B165,FORECAST($L165,
INDEX($Z$119:$AJ$119,MATCH($L165,$Z$105:$AJ$105,1)):INDEX($Z$119:$AJ$119,MATCH($L165,$Z$105:$AJ$105,1)+1),
INDEX($Z$105:$AJ$105,MATCH($L165,$Z$105:$AJ$105,1)):INDEX($Z$105:$AJ$105,MATCH($L165,$Z$105:$AJ$105,1)+1)),0)</f>
        <v>0</v>
      </c>
      <c r="V165" s="162">
        <f>ABS($L165-$L166)*IF($B165,FORECAST($L165,
INDEX($Z$120:$AJ$120,MATCH($L165,$Z$105:$AJ$105,1)):INDEX($Z$120:$AJ$120,MATCH($L165,$Z$105:$AJ$105,1)+1),
INDEX($Z$105:$AJ$105,MATCH($L165,$Z$105:$AJ$105,1)):INDEX($Z$105:$AJ$105,MATCH($L165,$Z$105:$AJ$105,1)+1)),0)</f>
        <v>1382.3181063008624</v>
      </c>
      <c r="W165" s="162">
        <f>ABS($L165-$L166)*IF($B165,FORECAST($L165,
INDEX($Z$121:$AJ$121,MATCH($L165,$Z$105:$AJ$105,1)):INDEX($Z$121:$AJ$121,MATCH($L165,$Z$105:$AJ$105,1)+1),
INDEX($Z$105:$AJ$105,MATCH($L165,$Z$105:$AJ$105,1)):INDEX($Z$105:$AJ$105,MATCH($L165,$Z$105:$AJ$105,1)+1)),0)</f>
        <v>1425.201319510636</v>
      </c>
      <c r="X165" s="162">
        <f>ABS($L165-$L166)*IF($B165,FORECAST($L165,
INDEX($Z$122:$AJ$122,MATCH($L165,$Z$105:$AJ$105,1)):INDEX($Z$122:$AJ$122,MATCH($L165,$Z$105:$AJ$105,1)+1),
INDEX($Z$105:$AJ$105,MATCH($L165,$Z$105:$AJ$105,1)):INDEX($Z$105:$AJ$105,MATCH($L165,$Z$105:$AJ$105,1)+1)),0)</f>
        <v>1244.8779331975486</v>
      </c>
      <c r="AM165" s="44">
        <f t="shared" si="93"/>
        <v>885</v>
      </c>
      <c r="AN165" s="45">
        <f t="shared" si="55"/>
        <v>979</v>
      </c>
      <c r="AO165" s="54">
        <f t="shared" si="77"/>
        <v>0.92710027034627274</v>
      </c>
      <c r="AP165" s="54">
        <f t="shared" si="78"/>
        <v>0.92710027034627274</v>
      </c>
      <c r="AQ165" s="54">
        <f t="shared" si="73"/>
        <v>1.8542005406925455</v>
      </c>
      <c r="AR165" s="46">
        <f t="shared" si="79"/>
        <v>5.7927808924945792</v>
      </c>
      <c r="AS165" s="47">
        <f t="shared" si="40"/>
        <v>3.2587375145650798E-4</v>
      </c>
      <c r="AT165" s="47">
        <f t="shared" si="95"/>
        <v>1.2568236128844736E-6</v>
      </c>
      <c r="AU165" s="48">
        <f t="shared" si="41"/>
        <v>222.57964327721461</v>
      </c>
      <c r="AV165" s="48">
        <f t="shared" si="80"/>
        <v>1096.3310690935491</v>
      </c>
      <c r="AW165" s="140">
        <f t="shared" si="42"/>
        <v>218.44882790772064</v>
      </c>
      <c r="AX165" s="53"/>
      <c r="AZ165" s="50">
        <f t="shared" si="43"/>
        <v>284.32020872555722</v>
      </c>
      <c r="BA165" s="50">
        <f t="shared" si="44"/>
        <v>284.32020872555722</v>
      </c>
      <c r="BB165" s="50">
        <f t="shared" si="81"/>
        <v>294.44649954751191</v>
      </c>
      <c r="BD165" s="50">
        <f t="shared" si="82"/>
        <v>885</v>
      </c>
      <c r="BE165" s="50">
        <f t="shared" si="83"/>
        <v>979</v>
      </c>
      <c r="BF165" s="53">
        <f t="shared" si="84"/>
        <v>1.8542005406925455</v>
      </c>
      <c r="BG165" s="53">
        <f t="shared" si="45"/>
        <v>3.2587375145650798E-4</v>
      </c>
      <c r="BH165" s="53">
        <f t="shared" si="46"/>
        <v>1096.3310690935491</v>
      </c>
      <c r="BI165" s="127">
        <f t="shared" si="47"/>
        <v>218.44882790772064</v>
      </c>
      <c r="BK165" s="44">
        <f t="shared" si="94"/>
        <v>885</v>
      </c>
      <c r="BL165" s="45">
        <f t="shared" si="57"/>
        <v>979</v>
      </c>
      <c r="BM165" s="119" cm="1">
        <f t="array" ref="BM165">IF(($AG$51=0),0,
_xlfn.IFS(BK165&lt;=$BL$102,($AG$53*(1-(BK165/$BL$102))),AND(BK165&gt;$BL$102,BK165&lt;($AG$55+$BL$102)),0,BK165&gt;=($AG$55+$BL$102),($AG$53*((BK165-($AG$55+$BL$102))/$BL$102)))-$AG$54)</f>
        <v>0</v>
      </c>
      <c r="BN165" s="119" cm="1">
        <f t="array" ref="BN165">IF(($AG$51=0),0,
_xlfn.IFS(BK165&lt;=$BL$102,($BL$103*(1-(BK165/$BL$102))),AND(BK165&gt;$BL$102,BK165&lt;($AG$55+$BL$102)),0,BK165&gt;=($AG$55+$BL$102),($BL$103*((BK165-($AG$55+$BL$102))/$BL$102))))</f>
        <v>0</v>
      </c>
      <c r="BO165" s="120">
        <f t="shared" si="85"/>
        <v>0</v>
      </c>
      <c r="BP165" s="121">
        <f t="shared" si="86"/>
        <v>0</v>
      </c>
      <c r="BQ165" s="121">
        <f t="shared" si="58"/>
        <v>0</v>
      </c>
      <c r="BR165" s="48">
        <f t="shared" si="87"/>
        <v>0</v>
      </c>
      <c r="BS165" s="48">
        <f t="shared" si="88"/>
        <v>979</v>
      </c>
      <c r="BU165" s="122"/>
      <c r="BW165" s="50">
        <f t="shared" si="64"/>
        <v>885</v>
      </c>
      <c r="BX165" s="50">
        <f t="shared" si="65"/>
        <v>979</v>
      </c>
      <c r="BY165" s="53">
        <f t="shared" si="66"/>
        <v>0</v>
      </c>
      <c r="BZ165" s="53">
        <f t="shared" si="67"/>
        <v>0</v>
      </c>
      <c r="CA165" s="53">
        <f t="shared" si="68"/>
        <v>979</v>
      </c>
      <c r="CC165" s="126">
        <f t="shared" si="54"/>
        <v>1096.3310690935491</v>
      </c>
      <c r="CD165" s="127">
        <f t="shared" si="89"/>
        <v>8.6196590303814862</v>
      </c>
    </row>
    <row r="166" spans="2:82" x14ac:dyDescent="0.35">
      <c r="B166" s="50" t="b">
        <f t="shared" si="22"/>
        <v>1</v>
      </c>
      <c r="C166" s="21">
        <f t="shared" si="90"/>
        <v>119.33333333333344</v>
      </c>
      <c r="D166" s="13">
        <f t="shared" si="91"/>
        <v>3.2682370016782696</v>
      </c>
      <c r="E166" s="143">
        <f t="shared" si="25"/>
        <v>112.00184531426825</v>
      </c>
      <c r="F166" s="52">
        <f t="shared" si="92"/>
        <v>2.3712403551058361</v>
      </c>
      <c r="G166" s="50">
        <f t="shared" si="27"/>
        <v>170.22200690363755</v>
      </c>
      <c r="H166" s="50">
        <f t="shared" si="74"/>
        <v>282.2238522179058</v>
      </c>
      <c r="I166" s="16">
        <f t="shared" si="28"/>
        <v>5.756009193396638</v>
      </c>
      <c r="J166" s="22">
        <f t="shared" si="29"/>
        <v>2.6085833936333545E-2</v>
      </c>
      <c r="K166" s="15">
        <f t="shared" si="59"/>
        <v>429.92188633551382</v>
      </c>
      <c r="L166" s="15">
        <f t="shared" si="75"/>
        <v>290.38965642385267</v>
      </c>
      <c r="M166" s="17">
        <f t="shared" si="30"/>
        <v>0.9718798379167195</v>
      </c>
      <c r="N166" s="15">
        <f t="shared" si="31"/>
        <v>282.2238522179058</v>
      </c>
      <c r="O166" s="17">
        <f t="shared" si="32"/>
        <v>0.9718798379167195</v>
      </c>
      <c r="P166" s="15">
        <f t="shared" si="33"/>
        <v>1</v>
      </c>
      <c r="Q166" s="7">
        <f t="shared" si="34"/>
        <v>6.4958626642986766E-2</v>
      </c>
      <c r="R166" s="17">
        <f t="shared" si="76"/>
        <v>0.9718798379167195</v>
      </c>
      <c r="S166" s="17">
        <f t="shared" si="35"/>
        <v>0.67404569403901515</v>
      </c>
      <c r="T166" s="162">
        <f t="shared" si="36"/>
        <v>1093.0682479839581</v>
      </c>
      <c r="U166" s="162">
        <f>ABS($L166-$L167)*IF($B166,FORECAST($L166,
INDEX($Z$119:$AJ$119,MATCH($L166,$Z$105:$AJ$105,1)):INDEX($Z$119:$AJ$119,MATCH($L166,$Z$105:$AJ$105,1)+1),
INDEX($Z$105:$AJ$105,MATCH($L166,$Z$105:$AJ$105,1)):INDEX($Z$105:$AJ$105,MATCH($L166,$Z$105:$AJ$105,1)+1)),0)</f>
        <v>0</v>
      </c>
      <c r="V166" s="162">
        <f>ABS($L166-$L167)*IF($B166,FORECAST($L166,
INDEX($Z$120:$AJ$120,MATCH($L166,$Z$105:$AJ$105,1)):INDEX($Z$120:$AJ$120,MATCH($L166,$Z$105:$AJ$105,1)+1),
INDEX($Z$105:$AJ$105,MATCH($L166,$Z$105:$AJ$105,1)):INDEX($Z$105:$AJ$105,MATCH($L166,$Z$105:$AJ$105,1)+1)),0)</f>
        <v>1326.2827549636868</v>
      </c>
      <c r="W166" s="162">
        <f>ABS($L166-$L167)*IF($B166,FORECAST($L166,
INDEX($Z$121:$AJ$121,MATCH($L166,$Z$105:$AJ$105,1)):INDEX($Z$121:$AJ$121,MATCH($L166,$Z$105:$AJ$105,1)+1),
INDEX($Z$105:$AJ$105,MATCH($L166,$Z$105:$AJ$105,1)):INDEX($Z$105:$AJ$105,MATCH($L166,$Z$105:$AJ$105,1)+1)),0)</f>
        <v>1366.6825722928982</v>
      </c>
      <c r="X166" s="162">
        <f>ABS($L166-$L167)*IF($B166,FORECAST($L166,
INDEX($Z$122:$AJ$122,MATCH($L166,$Z$105:$AJ$105,1)):INDEX($Z$122:$AJ$122,MATCH($L166,$Z$105:$AJ$105,1)+1),
INDEX($Z$105:$AJ$105,MATCH($L166,$Z$105:$AJ$105,1)):INDEX($Z$105:$AJ$105,MATCH($L166,$Z$105:$AJ$105,1)+1)),0)</f>
        <v>1195.2595700718541</v>
      </c>
      <c r="AM166" s="44">
        <f t="shared" si="93"/>
        <v>900</v>
      </c>
      <c r="AN166" s="45">
        <f t="shared" si="55"/>
        <v>979</v>
      </c>
      <c r="AO166" s="54">
        <f t="shared" si="77"/>
        <v>0.91000032759620808</v>
      </c>
      <c r="AP166" s="54">
        <f t="shared" si="78"/>
        <v>0.91000032759620808</v>
      </c>
      <c r="AQ166" s="54">
        <f t="shared" si="73"/>
        <v>1.8200006551924162</v>
      </c>
      <c r="AR166" s="46">
        <f t="shared" si="79"/>
        <v>5.6859356840595439</v>
      </c>
      <c r="AS166" s="47">
        <f t="shared" si="40"/>
        <v>3.1986315835035587E-4</v>
      </c>
      <c r="AT166" s="47">
        <f t="shared" si="95"/>
        <v>1.2568241209187426E-6</v>
      </c>
      <c r="AU166" s="48">
        <f t="shared" si="41"/>
        <v>218.49003607345526</v>
      </c>
      <c r="AV166" s="48">
        <f t="shared" si="80"/>
        <v>1092.2414618897897</v>
      </c>
      <c r="AW166" s="140">
        <f t="shared" si="42"/>
        <v>210.77883116163483</v>
      </c>
      <c r="AX166" s="53"/>
      <c r="AZ166" s="50">
        <f t="shared" si="43"/>
        <v>282.2238522179058</v>
      </c>
      <c r="BA166" s="50">
        <f t="shared" si="44"/>
        <v>282.2238522179058</v>
      </c>
      <c r="BB166" s="50">
        <f t="shared" si="81"/>
        <v>290.38965642385267</v>
      </c>
      <c r="BD166" s="50">
        <f t="shared" si="82"/>
        <v>900</v>
      </c>
      <c r="BE166" s="50">
        <f t="shared" si="83"/>
        <v>979</v>
      </c>
      <c r="BF166" s="53">
        <f t="shared" si="84"/>
        <v>1.8200006551924162</v>
      </c>
      <c r="BG166" s="53">
        <f t="shared" si="45"/>
        <v>3.1986315835035587E-4</v>
      </c>
      <c r="BH166" s="53">
        <f t="shared" si="46"/>
        <v>1092.2414618897897</v>
      </c>
      <c r="BI166" s="127">
        <f t="shared" si="47"/>
        <v>210.77883116163483</v>
      </c>
      <c r="BK166" s="44">
        <f t="shared" si="94"/>
        <v>900</v>
      </c>
      <c r="BL166" s="45">
        <f t="shared" si="57"/>
        <v>979</v>
      </c>
      <c r="BM166" s="119" cm="1">
        <f t="array" ref="BM166">IF(($AG$51=0),0,
_xlfn.IFS(BK166&lt;=$BL$102,($AG$53*(1-(BK166/$BL$102))),AND(BK166&gt;$BL$102,BK166&lt;($AG$55+$BL$102)),0,BK166&gt;=($AG$55+$BL$102),($AG$53*((BK166-($AG$55+$BL$102))/$BL$102)))-$AG$54)</f>
        <v>0</v>
      </c>
      <c r="BN166" s="119" cm="1">
        <f t="array" ref="BN166">IF(($AG$51=0),0,
_xlfn.IFS(BK166&lt;=$BL$102,($BL$103*(1-(BK166/$BL$102))),AND(BK166&gt;$BL$102,BK166&lt;($AG$55+$BL$102)),0,BK166&gt;=($AG$55+$BL$102),($BL$103*((BK166-($AG$55+$BL$102))/$BL$102))))</f>
        <v>0</v>
      </c>
      <c r="BO166" s="120">
        <f t="shared" si="85"/>
        <v>0</v>
      </c>
      <c r="BP166" s="121">
        <f t="shared" si="86"/>
        <v>0</v>
      </c>
      <c r="BQ166" s="121">
        <f t="shared" si="58"/>
        <v>0</v>
      </c>
      <c r="BR166" s="48">
        <f t="shared" si="87"/>
        <v>0</v>
      </c>
      <c r="BS166" s="48">
        <f t="shared" si="88"/>
        <v>979</v>
      </c>
      <c r="BU166" s="122"/>
      <c r="BW166" s="50">
        <f t="shared" si="64"/>
        <v>900</v>
      </c>
      <c r="BX166" s="50">
        <f t="shared" si="65"/>
        <v>979</v>
      </c>
      <c r="BY166" s="53">
        <f t="shared" si="66"/>
        <v>0</v>
      </c>
      <c r="BZ166" s="53">
        <f t="shared" si="67"/>
        <v>0</v>
      </c>
      <c r="CA166" s="53">
        <f t="shared" si="68"/>
        <v>979</v>
      </c>
      <c r="CC166" s="126">
        <f t="shared" si="54"/>
        <v>1092.2414618897897</v>
      </c>
      <c r="CD166" s="127">
        <f t="shared" si="89"/>
        <v>8.6519330475238192</v>
      </c>
    </row>
    <row r="167" spans="2:82" x14ac:dyDescent="0.35">
      <c r="B167" s="50" t="b">
        <f t="shared" si="22"/>
        <v>1</v>
      </c>
      <c r="C167" s="21">
        <f t="shared" si="90"/>
        <v>121.32222222222234</v>
      </c>
      <c r="D167" s="13">
        <f t="shared" si="91"/>
        <v>3.294322835614603</v>
      </c>
      <c r="E167" s="143">
        <f t="shared" si="25"/>
        <v>107.15630287909784</v>
      </c>
      <c r="F167" s="52">
        <f t="shared" si="92"/>
        <v>2.4101131478124893</v>
      </c>
      <c r="G167" s="50">
        <f t="shared" si="27"/>
        <v>173.01253160697587</v>
      </c>
      <c r="H167" s="50">
        <f t="shared" si="74"/>
        <v>280.16883448607371</v>
      </c>
      <c r="I167" s="16">
        <f t="shared" si="28"/>
        <v>5.5069866284060822</v>
      </c>
      <c r="J167" s="22">
        <f t="shared" si="29"/>
        <v>2.4957280965258424E-2</v>
      </c>
      <c r="K167" s="15">
        <f t="shared" si="59"/>
        <v>424.16687714211713</v>
      </c>
      <c r="L167" s="15">
        <f t="shared" si="75"/>
        <v>286.50244994401697</v>
      </c>
      <c r="M167" s="17">
        <f t="shared" si="30"/>
        <v>0.97789332880336322</v>
      </c>
      <c r="N167" s="15">
        <f t="shared" si="31"/>
        <v>280.16883448607371</v>
      </c>
      <c r="O167" s="17">
        <f t="shared" si="32"/>
        <v>0.97789332880336322</v>
      </c>
      <c r="P167" s="15">
        <f t="shared" si="33"/>
        <v>1</v>
      </c>
      <c r="Q167" s="7">
        <f t="shared" si="34"/>
        <v>6.3830073671911652E-2</v>
      </c>
      <c r="R167" s="17">
        <f t="shared" si="76"/>
        <v>0.97789332880336322</v>
      </c>
      <c r="S167" s="17">
        <f t="shared" si="35"/>
        <v>0.67821634094426808</v>
      </c>
      <c r="T167" s="162">
        <f t="shared" si="36"/>
        <v>1038.2143832002134</v>
      </c>
      <c r="U167" s="162">
        <f>ABS($L167-$L168)*IF($B167,FORECAST($L167,
INDEX($Z$119:$AJ$119,MATCH($L167,$Z$105:$AJ$105,1)):INDEX($Z$119:$AJ$119,MATCH($L167,$Z$105:$AJ$105,1)+1),
INDEX($Z$105:$AJ$105,MATCH($L167,$Z$105:$AJ$105,1)):INDEX($Z$105:$AJ$105,MATCH($L167,$Z$105:$AJ$105,1)+1)),0)</f>
        <v>0</v>
      </c>
      <c r="V167" s="162">
        <f>ABS($L167-$L168)*IF($B167,FORECAST($L167,
INDEX($Z$120:$AJ$120,MATCH($L167,$Z$105:$AJ$105,1)):INDEX($Z$120:$AJ$120,MATCH($L167,$Z$105:$AJ$105,1)+1),
INDEX($Z$105:$AJ$105,MATCH($L167,$Z$105:$AJ$105,1)):INDEX($Z$105:$AJ$105,MATCH($L167,$Z$105:$AJ$105,1)+1)),0)</f>
        <v>1270.5128484028251</v>
      </c>
      <c r="W167" s="162">
        <f>ABS($L167-$L168)*IF($B167,FORECAST($L167,
INDEX($Z$121:$AJ$121,MATCH($L167,$Z$105:$AJ$105,1)):INDEX($Z$121:$AJ$121,MATCH($L167,$Z$105:$AJ$105,1)+1),
INDEX($Z$105:$AJ$105,MATCH($L167,$Z$105:$AJ$105,1)):INDEX($Z$105:$AJ$105,MATCH($L167,$Z$105:$AJ$105,1)+1)),0)</f>
        <v>1308.5317856557263</v>
      </c>
      <c r="X167" s="162">
        <f>ABS($L167-$L168)*IF($B167,FORECAST($L167,
INDEX($Z$122:$AJ$122,MATCH($L167,$Z$105:$AJ$105,1)):INDEX($Z$122:$AJ$122,MATCH($L167,$Z$105:$AJ$105,1)+1),
INDEX($Z$105:$AJ$105,MATCH($L167,$Z$105:$AJ$105,1)):INDEX($Z$105:$AJ$105,MATCH($L167,$Z$105:$AJ$105,1)+1)),0)</f>
        <v>1145.773258446126</v>
      </c>
      <c r="AM167" s="44">
        <f t="shared" si="93"/>
        <v>915</v>
      </c>
      <c r="AN167" s="45">
        <f t="shared" si="55"/>
        <v>979</v>
      </c>
      <c r="AO167" s="54">
        <f t="shared" si="77"/>
        <v>0.89110038816579618</v>
      </c>
      <c r="AP167" s="54">
        <f t="shared" si="78"/>
        <v>0.89110038816579618</v>
      </c>
      <c r="AQ167" s="54">
        <f t="shared" si="73"/>
        <v>1.7822007763315924</v>
      </c>
      <c r="AR167" s="46">
        <f t="shared" si="79"/>
        <v>5.5678435946667717</v>
      </c>
      <c r="AS167" s="47">
        <f t="shared" si="40"/>
        <v>3.1321987028164595E-4</v>
      </c>
      <c r="AT167" s="47">
        <f t="shared" si="95"/>
        <v>1.2568246983842319E-6</v>
      </c>
      <c r="AU167" s="48">
        <f t="shared" si="41"/>
        <v>213.96994326441251</v>
      </c>
      <c r="AV167" s="48">
        <f t="shared" si="80"/>
        <v>1087.7213690807471</v>
      </c>
      <c r="AW167" s="140">
        <f t="shared" si="42"/>
        <v>202.30146512297179</v>
      </c>
      <c r="AX167" s="53"/>
      <c r="AZ167" s="50">
        <f t="shared" si="43"/>
        <v>280.16883448607371</v>
      </c>
      <c r="BA167" s="50">
        <f t="shared" si="44"/>
        <v>280.16883448607371</v>
      </c>
      <c r="BB167" s="50">
        <f t="shared" si="81"/>
        <v>286.50244994401697</v>
      </c>
      <c r="BD167" s="50">
        <f t="shared" si="82"/>
        <v>915</v>
      </c>
      <c r="BE167" s="50">
        <f t="shared" si="83"/>
        <v>979</v>
      </c>
      <c r="BF167" s="53">
        <f t="shared" si="84"/>
        <v>1.7822007763315924</v>
      </c>
      <c r="BG167" s="53">
        <f t="shared" si="45"/>
        <v>3.1321987028164595E-4</v>
      </c>
      <c r="BH167" s="53">
        <f t="shared" si="46"/>
        <v>1087.7213690807471</v>
      </c>
      <c r="BI167" s="127">
        <f t="shared" si="47"/>
        <v>202.30146512297179</v>
      </c>
      <c r="BK167" s="44">
        <f t="shared" si="94"/>
        <v>915</v>
      </c>
      <c r="BL167" s="45">
        <f t="shared" si="57"/>
        <v>979</v>
      </c>
      <c r="BM167" s="119" cm="1">
        <f t="array" ref="BM167">IF(($AG$51=0),0,
_xlfn.IFS(BK167&lt;=$BL$102,($AG$53*(1-(BK167/$BL$102))),AND(BK167&gt;$BL$102,BK167&lt;($AG$55+$BL$102)),0,BK167&gt;=($AG$55+$BL$102),($AG$53*((BK167-($AG$55+$BL$102))/$BL$102)))-$AG$54)</f>
        <v>0</v>
      </c>
      <c r="BN167" s="119" cm="1">
        <f t="array" ref="BN167">IF(($AG$51=0),0,
_xlfn.IFS(BK167&lt;=$BL$102,($BL$103*(1-(BK167/$BL$102))),AND(BK167&gt;$BL$102,BK167&lt;($AG$55+$BL$102)),0,BK167&gt;=($AG$55+$BL$102),($BL$103*((BK167-($AG$55+$BL$102))/$BL$102))))</f>
        <v>0</v>
      </c>
      <c r="BO167" s="120">
        <f t="shared" si="85"/>
        <v>0</v>
      </c>
      <c r="BP167" s="121">
        <f t="shared" si="86"/>
        <v>0</v>
      </c>
      <c r="BQ167" s="121">
        <f t="shared" si="58"/>
        <v>0</v>
      </c>
      <c r="BR167" s="48">
        <f t="shared" si="87"/>
        <v>0</v>
      </c>
      <c r="BS167" s="48">
        <f t="shared" si="88"/>
        <v>979</v>
      </c>
      <c r="BU167" s="122"/>
      <c r="BW167" s="50">
        <f t="shared" si="64"/>
        <v>915</v>
      </c>
      <c r="BX167" s="50">
        <f t="shared" si="65"/>
        <v>979</v>
      </c>
      <c r="BY167" s="53">
        <f t="shared" si="66"/>
        <v>0</v>
      </c>
      <c r="BZ167" s="53">
        <f t="shared" si="67"/>
        <v>0</v>
      </c>
      <c r="CA167" s="53">
        <f t="shared" si="68"/>
        <v>979</v>
      </c>
      <c r="CC167" s="126">
        <f t="shared" si="54"/>
        <v>1087.7213690807471</v>
      </c>
      <c r="CD167" s="127">
        <f t="shared" si="89"/>
        <v>8.6878866855271628</v>
      </c>
    </row>
    <row r="168" spans="2:82" x14ac:dyDescent="0.35">
      <c r="B168" s="50" t="b">
        <f t="shared" si="22"/>
        <v>1</v>
      </c>
      <c r="C168" s="21">
        <f t="shared" si="90"/>
        <v>123.31111111111123</v>
      </c>
      <c r="D168" s="13">
        <f t="shared" si="91"/>
        <v>3.3192801165798613</v>
      </c>
      <c r="E168" s="143">
        <f t="shared" si="25"/>
        <v>102.35725094105604</v>
      </c>
      <c r="F168" s="52">
        <f t="shared" si="92"/>
        <v>2.4489859405191425</v>
      </c>
      <c r="G168" s="50">
        <f t="shared" si="27"/>
        <v>175.80305631031419</v>
      </c>
      <c r="H168" s="50">
        <f t="shared" si="74"/>
        <v>278.16030725137023</v>
      </c>
      <c r="I168" s="16">
        <f t="shared" si="28"/>
        <v>5.2603533073438493</v>
      </c>
      <c r="J168" s="22">
        <f t="shared" si="29"/>
        <v>2.3839555881744558E-2</v>
      </c>
      <c r="K168" s="15">
        <f t="shared" si="59"/>
        <v>418.66089051371102</v>
      </c>
      <c r="L168" s="15">
        <f t="shared" si="75"/>
        <v>282.78344512915299</v>
      </c>
      <c r="M168" s="17">
        <f t="shared" si="30"/>
        <v>0.98365131354959168</v>
      </c>
      <c r="N168" s="15">
        <f t="shared" si="31"/>
        <v>278.16030725137023</v>
      </c>
      <c r="O168" s="17">
        <f t="shared" si="32"/>
        <v>0.98365131354959168</v>
      </c>
      <c r="P168" s="15">
        <f t="shared" si="33"/>
        <v>1</v>
      </c>
      <c r="Q168" s="7">
        <f t="shared" si="34"/>
        <v>6.2712348588397776E-2</v>
      </c>
      <c r="R168" s="17">
        <f t="shared" si="76"/>
        <v>0.98365131354959168</v>
      </c>
      <c r="S168" s="17">
        <f t="shared" si="35"/>
        <v>0.68220978197794269</v>
      </c>
      <c r="T168" s="162">
        <f t="shared" si="36"/>
        <v>984.6648116495287</v>
      </c>
      <c r="U168" s="162">
        <f>ABS($L168-$L169)*IF($B168,FORECAST($L168,
INDEX($Z$119:$AJ$119,MATCH($L168,$Z$105:$AJ$105,1)):INDEX($Z$119:$AJ$119,MATCH($L168,$Z$105:$AJ$105,1)+1),
INDEX($Z$105:$AJ$105,MATCH($L168,$Z$105:$AJ$105,1)):INDEX($Z$105:$AJ$105,MATCH($L168,$Z$105:$AJ$105,1)+1)),0)</f>
        <v>0</v>
      </c>
      <c r="V168" s="162">
        <f>ABS($L168-$L169)*IF($B168,FORECAST($L168,
INDEX($Z$120:$AJ$120,MATCH($L168,$Z$105:$AJ$105,1)):INDEX($Z$120:$AJ$120,MATCH($L168,$Z$105:$AJ$105,1)+1),
INDEX($Z$105:$AJ$105,MATCH($L168,$Z$105:$AJ$105,1)):INDEX($Z$105:$AJ$105,MATCH($L168,$Z$105:$AJ$105,1)+1)),0)</f>
        <v>1215.0815863949792</v>
      </c>
      <c r="W168" s="162">
        <f>ABS($L168-$L169)*IF($B168,FORECAST($L168,
INDEX($Z$121:$AJ$121,MATCH($L168,$Z$105:$AJ$105,1)):INDEX($Z$121:$AJ$121,MATCH($L168,$Z$105:$AJ$105,1)+1),
INDEX($Z$105:$AJ$105,MATCH($L168,$Z$105:$AJ$105,1)):INDEX($Z$105:$AJ$105,MATCH($L168,$Z$105:$AJ$105,1)+1)),0)</f>
        <v>1250.8192562103357</v>
      </c>
      <c r="X168" s="162">
        <f>ABS($L168-$L169)*IF($B168,FORECAST($L168,
INDEX($Z$122:$AJ$122,MATCH($L168,$Z$105:$AJ$105,1)):INDEX($Z$122:$AJ$122,MATCH($L168,$Z$105:$AJ$105,1)+1),
INDEX($Z$105:$AJ$105,MATCH($L168,$Z$105:$AJ$105,1)):INDEX($Z$105:$AJ$105,MATCH($L168,$Z$105:$AJ$105,1)+1)),0)</f>
        <v>1096.490792106079</v>
      </c>
      <c r="AM168" s="44">
        <f t="shared" si="93"/>
        <v>930</v>
      </c>
      <c r="AN168" s="45">
        <f t="shared" si="55"/>
        <v>979</v>
      </c>
      <c r="AO168" s="54">
        <f t="shared" si="77"/>
        <v>0.87040045121102594</v>
      </c>
      <c r="AP168" s="54">
        <f t="shared" si="78"/>
        <v>0.87040045121102594</v>
      </c>
      <c r="AQ168" s="54">
        <f t="shared" si="73"/>
        <v>1.7408009024220519</v>
      </c>
      <c r="AR168" s="46">
        <f t="shared" si="79"/>
        <v>5.4385046190426474</v>
      </c>
      <c r="AS168" s="47">
        <f t="shared" si="40"/>
        <v>3.0594388695371022E-4</v>
      </c>
      <c r="AT168" s="47">
        <f t="shared" si="95"/>
        <v>1.2568253164925E-6</v>
      </c>
      <c r="AU168" s="48">
        <f t="shared" si="41"/>
        <v>209.01936462864592</v>
      </c>
      <c r="AV168" s="48">
        <f t="shared" si="80"/>
        <v>1082.7707904449803</v>
      </c>
      <c r="AW168" s="140">
        <f t="shared" si="42"/>
        <v>193.01672941315951</v>
      </c>
      <c r="AX168" s="53"/>
      <c r="AZ168" s="50">
        <f t="shared" si="43"/>
        <v>278.16030725137023</v>
      </c>
      <c r="BA168" s="50">
        <f t="shared" si="44"/>
        <v>278.16030725137023</v>
      </c>
      <c r="BB168" s="50">
        <f t="shared" si="81"/>
        <v>282.78344512915299</v>
      </c>
      <c r="BD168" s="50">
        <f t="shared" si="82"/>
        <v>930</v>
      </c>
      <c r="BE168" s="50">
        <f t="shared" si="83"/>
        <v>979</v>
      </c>
      <c r="BF168" s="53">
        <f t="shared" si="84"/>
        <v>1.7408009024220519</v>
      </c>
      <c r="BG168" s="53">
        <f t="shared" si="45"/>
        <v>3.0594388695371022E-4</v>
      </c>
      <c r="BH168" s="53">
        <f t="shared" si="46"/>
        <v>1082.7707904449803</v>
      </c>
      <c r="BI168" s="127">
        <f t="shared" si="47"/>
        <v>193.01672941315951</v>
      </c>
      <c r="BK168" s="44">
        <f t="shared" si="94"/>
        <v>930</v>
      </c>
      <c r="BL168" s="45">
        <f t="shared" si="57"/>
        <v>979</v>
      </c>
      <c r="BM168" s="119" cm="1">
        <f t="array" ref="BM168">IF(($AG$51=0),0,
_xlfn.IFS(BK168&lt;=$BL$102,($AG$53*(1-(BK168/$BL$102))),AND(BK168&gt;$BL$102,BK168&lt;($AG$55+$BL$102)),0,BK168&gt;=($AG$55+$BL$102),($AG$53*((BK168-($AG$55+$BL$102))/$BL$102)))-$AG$54)</f>
        <v>0</v>
      </c>
      <c r="BN168" s="119" cm="1">
        <f t="array" ref="BN168">IF(($AG$51=0),0,
_xlfn.IFS(BK168&lt;=$BL$102,($BL$103*(1-(BK168/$BL$102))),AND(BK168&gt;$BL$102,BK168&lt;($AG$55+$BL$102)),0,BK168&gt;=($AG$55+$BL$102),($BL$103*((BK168-($AG$55+$BL$102))/$BL$102))))</f>
        <v>0</v>
      </c>
      <c r="BO168" s="120">
        <f t="shared" si="85"/>
        <v>0</v>
      </c>
      <c r="BP168" s="121">
        <f t="shared" si="86"/>
        <v>0</v>
      </c>
      <c r="BQ168" s="121">
        <f t="shared" si="58"/>
        <v>0</v>
      </c>
      <c r="BR168" s="48">
        <f t="shared" si="87"/>
        <v>0</v>
      </c>
      <c r="BS168" s="48">
        <f t="shared" si="88"/>
        <v>979</v>
      </c>
      <c r="BU168" s="122"/>
      <c r="BW168" s="50">
        <f t="shared" si="64"/>
        <v>930</v>
      </c>
      <c r="BX168" s="50">
        <f t="shared" si="65"/>
        <v>979</v>
      </c>
      <c r="BY168" s="53">
        <f t="shared" si="66"/>
        <v>0</v>
      </c>
      <c r="BZ168" s="53">
        <f t="shared" si="67"/>
        <v>0</v>
      </c>
      <c r="CA168" s="53">
        <f t="shared" si="68"/>
        <v>979</v>
      </c>
      <c r="CC168" s="126">
        <f t="shared" si="54"/>
        <v>1082.7707904449803</v>
      </c>
      <c r="CD168" s="127">
        <f t="shared" si="89"/>
        <v>8.7276089116851647</v>
      </c>
    </row>
    <row r="169" spans="2:82" x14ac:dyDescent="0.35">
      <c r="B169" s="50" t="b">
        <f t="shared" si="22"/>
        <v>1</v>
      </c>
      <c r="C169" s="21">
        <f t="shared" si="90"/>
        <v>125.30000000000013</v>
      </c>
      <c r="D169" s="13">
        <f t="shared" si="91"/>
        <v>3.3431196724616057</v>
      </c>
      <c r="E169" s="143">
        <f t="shared" si="25"/>
        <v>97.609421616270737</v>
      </c>
      <c r="F169" s="52">
        <f t="shared" si="92"/>
        <v>2.4878587332257958</v>
      </c>
      <c r="G169" s="50">
        <f t="shared" si="27"/>
        <v>178.59358101365254</v>
      </c>
      <c r="H169" s="50">
        <f t="shared" si="74"/>
        <v>276.20300262992328</v>
      </c>
      <c r="I169" s="16">
        <f t="shared" si="28"/>
        <v>5.0163524235596526</v>
      </c>
      <c r="J169" s="22">
        <f t="shared" si="29"/>
        <v>2.2733760821164191E-2</v>
      </c>
      <c r="K169" s="15">
        <f t="shared" si="59"/>
        <v>413.40153720636715</v>
      </c>
      <c r="L169" s="15">
        <f t="shared" si="75"/>
        <v>279.23102817046077</v>
      </c>
      <c r="M169" s="17">
        <f t="shared" si="30"/>
        <v>0.98915584145366187</v>
      </c>
      <c r="N169" s="15">
        <f t="shared" si="31"/>
        <v>276.20300262992328</v>
      </c>
      <c r="O169" s="17">
        <f t="shared" si="32"/>
        <v>0.98915584145366187</v>
      </c>
      <c r="P169" s="15">
        <f t="shared" si="33"/>
        <v>1</v>
      </c>
      <c r="Q169" s="7">
        <f t="shared" si="34"/>
        <v>6.1606553527817416E-2</v>
      </c>
      <c r="R169" s="17">
        <f t="shared" si="76"/>
        <v>0.98915584145366187</v>
      </c>
      <c r="S169" s="17">
        <f t="shared" si="35"/>
        <v>0.68602743842753977</v>
      </c>
      <c r="T169" s="162">
        <f t="shared" si="36"/>
        <v>932.44606044721263</v>
      </c>
      <c r="U169" s="162">
        <f>ABS($L169-$L170)*IF($B169,FORECAST($L169,
INDEX($Z$119:$AJ$119,MATCH($L169,$Z$105:$AJ$105,1)):INDEX($Z$119:$AJ$119,MATCH($L169,$Z$105:$AJ$105,1)+1),
INDEX($Z$105:$AJ$105,MATCH($L169,$Z$105:$AJ$105,1)):INDEX($Z$105:$AJ$105,MATCH($L169,$Z$105:$AJ$105,1)+1)),0)</f>
        <v>0</v>
      </c>
      <c r="V169" s="162">
        <f>ABS($L169-$L170)*IF($B169,FORECAST($L169,
INDEX($Z$120:$AJ$120,MATCH($L169,$Z$105:$AJ$105,1)):INDEX($Z$120:$AJ$120,MATCH($L169,$Z$105:$AJ$105,1)+1),
INDEX($Z$105:$AJ$105,MATCH($L169,$Z$105:$AJ$105,1)):INDEX($Z$105:$AJ$105,MATCH($L169,$Z$105:$AJ$105,1)+1)),0)</f>
        <v>1160.05726341843</v>
      </c>
      <c r="W169" s="162">
        <f>ABS($L169-$L170)*IF($B169,FORECAST($L169,
INDEX($Z$121:$AJ$121,MATCH($L169,$Z$105:$AJ$105,1)):INDEX($Z$121:$AJ$121,MATCH($L169,$Z$105:$AJ$105,1)+1),
INDEX($Z$105:$AJ$105,MATCH($L169,$Z$105:$AJ$105,1)):INDEX($Z$105:$AJ$105,MATCH($L169,$Z$105:$AJ$105,1)+1)),0)</f>
        <v>1193.6101987334628</v>
      </c>
      <c r="X169" s="162">
        <f>ABS($L169-$L170)*IF($B169,FORECAST($L169,
INDEX($Z$122:$AJ$122,MATCH($L169,$Z$105:$AJ$105,1)):INDEX($Z$122:$AJ$122,MATCH($L169,$Z$105:$AJ$105,1)+1),
INDEX($Z$105:$AJ$105,MATCH($L169,$Z$105:$AJ$105,1)):INDEX($Z$105:$AJ$105,MATCH($L169,$Z$105:$AJ$105,1)+1)),0)</f>
        <v>1047.4795749067687</v>
      </c>
      <c r="AM169" s="44">
        <f t="shared" si="93"/>
        <v>945</v>
      </c>
      <c r="AN169" s="45">
        <f t="shared" si="55"/>
        <v>979</v>
      </c>
      <c r="AO169" s="54">
        <f t="shared" si="77"/>
        <v>0.84790051585878246</v>
      </c>
      <c r="AP169" s="54">
        <f t="shared" si="78"/>
        <v>0.84790051585878246</v>
      </c>
      <c r="AQ169" s="54">
        <f t="shared" si="73"/>
        <v>1.6958010317175649</v>
      </c>
      <c r="AR169" s="46">
        <f t="shared" si="79"/>
        <v>5.2979187517317055</v>
      </c>
      <c r="AS169" s="47">
        <f t="shared" si="40"/>
        <v>2.9803520805965066E-4</v>
      </c>
      <c r="AT169" s="47">
        <f t="shared" si="95"/>
        <v>1.2568259955649159E-6</v>
      </c>
      <c r="AU169" s="48">
        <f t="shared" si="41"/>
        <v>203.63829997116869</v>
      </c>
      <c r="AV169" s="48">
        <f t="shared" si="80"/>
        <v>1077.3897257875033</v>
      </c>
      <c r="AW169" s="140">
        <f t="shared" si="42"/>
        <v>182.92462364057161</v>
      </c>
      <c r="AX169" s="53"/>
      <c r="AZ169" s="50">
        <f t="shared" si="43"/>
        <v>276.20300262992328</v>
      </c>
      <c r="BA169" s="50">
        <f t="shared" si="44"/>
        <v>276.20300262992328</v>
      </c>
      <c r="BB169" s="50">
        <f t="shared" si="81"/>
        <v>279.23102817046077</v>
      </c>
      <c r="BD169" s="50">
        <f t="shared" si="82"/>
        <v>945</v>
      </c>
      <c r="BE169" s="50">
        <f t="shared" si="83"/>
        <v>979</v>
      </c>
      <c r="BF169" s="53">
        <f t="shared" si="84"/>
        <v>1.6958010317175649</v>
      </c>
      <c r="BG169" s="53">
        <f t="shared" si="45"/>
        <v>2.9803520805965066E-4</v>
      </c>
      <c r="BH169" s="53">
        <f t="shared" si="46"/>
        <v>1077.3897257875033</v>
      </c>
      <c r="BI169" s="127">
        <f t="shared" si="47"/>
        <v>182.92462364057161</v>
      </c>
      <c r="BK169" s="44">
        <f t="shared" si="94"/>
        <v>945</v>
      </c>
      <c r="BL169" s="45">
        <f t="shared" si="57"/>
        <v>979</v>
      </c>
      <c r="BM169" s="119" cm="1">
        <f t="array" ref="BM169">IF(($AG$51=0),0,
_xlfn.IFS(BK169&lt;=$BL$102,($AG$53*(1-(BK169/$BL$102))),AND(BK169&gt;$BL$102,BK169&lt;($AG$55+$BL$102)),0,BK169&gt;=($AG$55+$BL$102),($AG$53*((BK169-($AG$55+$BL$102))/$BL$102)))-$AG$54)</f>
        <v>0</v>
      </c>
      <c r="BN169" s="119" cm="1">
        <f t="array" ref="BN169">IF(($AG$51=0),0,
_xlfn.IFS(BK169&lt;=$BL$102,($BL$103*(1-(BK169/$BL$102))),AND(BK169&gt;$BL$102,BK169&lt;($AG$55+$BL$102)),0,BK169&gt;=($AG$55+$BL$102),($BL$103*((BK169-($AG$55+$BL$102))/$BL$102))))</f>
        <v>0</v>
      </c>
      <c r="BO169" s="120">
        <f t="shared" si="85"/>
        <v>0</v>
      </c>
      <c r="BP169" s="121">
        <f t="shared" si="86"/>
        <v>0</v>
      </c>
      <c r="BQ169" s="121">
        <f t="shared" si="58"/>
        <v>0</v>
      </c>
      <c r="BR169" s="48">
        <f t="shared" si="87"/>
        <v>0</v>
      </c>
      <c r="BS169" s="48">
        <f t="shared" si="88"/>
        <v>979</v>
      </c>
      <c r="BU169" s="122"/>
      <c r="BW169" s="50">
        <f t="shared" si="64"/>
        <v>945</v>
      </c>
      <c r="BX169" s="50">
        <f t="shared" si="65"/>
        <v>979</v>
      </c>
      <c r="BY169" s="53">
        <f t="shared" si="66"/>
        <v>0</v>
      </c>
      <c r="BZ169" s="53">
        <f t="shared" si="67"/>
        <v>0</v>
      </c>
      <c r="CA169" s="53">
        <f t="shared" si="68"/>
        <v>979</v>
      </c>
      <c r="CC169" s="126">
        <f t="shared" si="54"/>
        <v>1077.3897257875033</v>
      </c>
      <c r="CD169" s="127">
        <f t="shared" si="89"/>
        <v>8.7711992919671218</v>
      </c>
    </row>
    <row r="170" spans="2:82" x14ac:dyDescent="0.35">
      <c r="B170" s="50" t="b">
        <f t="shared" si="22"/>
        <v>1</v>
      </c>
      <c r="C170" s="21">
        <f t="shared" si="90"/>
        <v>127.28888888888902</v>
      </c>
      <c r="D170" s="13">
        <f t="shared" si="91"/>
        <v>3.3658534332827701</v>
      </c>
      <c r="E170" s="143">
        <f t="shared" si="25"/>
        <v>92.917133790590924</v>
      </c>
      <c r="F170" s="52">
        <f t="shared" si="92"/>
        <v>2.526731525932449</v>
      </c>
      <c r="G170" s="50">
        <f t="shared" si="27"/>
        <v>181.38410571699086</v>
      </c>
      <c r="H170" s="50">
        <f t="shared" ref="H170:H196" si="96">E170+G170</f>
        <v>274.30123950758178</v>
      </c>
      <c r="I170" s="16">
        <f t="shared" si="28"/>
        <v>4.7752059336344956</v>
      </c>
      <c r="J170" s="22">
        <f t="shared" si="29"/>
        <v>2.1640901675328582E-2</v>
      </c>
      <c r="K170" s="15">
        <f t="shared" si="59"/>
        <v>408.3861847828075</v>
      </c>
      <c r="L170" s="15">
        <f t="shared" ref="L170:L196" si="97">(2*K170)/($AG$18*$D$77)</f>
        <v>275.84342099480415</v>
      </c>
      <c r="M170" s="17">
        <f t="shared" si="30"/>
        <v>0.99440921417788164</v>
      </c>
      <c r="N170" s="15">
        <f t="shared" si="31"/>
        <v>274.30123950758178</v>
      </c>
      <c r="O170" s="17">
        <f t="shared" si="32"/>
        <v>0.99440921417788164</v>
      </c>
      <c r="P170" s="15">
        <f t="shared" si="33"/>
        <v>1</v>
      </c>
      <c r="Q170" s="7">
        <f t="shared" si="34"/>
        <v>6.0513694381981807E-2</v>
      </c>
      <c r="R170" s="17">
        <f t="shared" ref="R170:R196" si="98">IF($L170&gt;E$97,E$98,(E$94*$L170^2)+(E$95*$L170)+(E$96))/$L170</f>
        <v>0.99440921417788164</v>
      </c>
      <c r="S170" s="17">
        <f t="shared" si="35"/>
        <v>0.68967090660724051</v>
      </c>
      <c r="T170" s="162">
        <f t="shared" si="36"/>
        <v>881.57570231020554</v>
      </c>
      <c r="U170" s="162">
        <f>ABS($L170-$L171)*IF($B170,FORECAST($L170,
INDEX($Z$119:$AJ$119,MATCH($L170,$Z$105:$AJ$105,1)):INDEX($Z$119:$AJ$119,MATCH($L170,$Z$105:$AJ$105,1)+1),
INDEX($Z$105:$AJ$105,MATCH($L170,$Z$105:$AJ$105,1)):INDEX($Z$105:$AJ$105,MATCH($L170,$Z$105:$AJ$105,1)+1)),0)</f>
        <v>0</v>
      </c>
      <c r="V170" s="162">
        <f>ABS($L170-$L171)*IF($B170,FORECAST($L170,
INDEX($Z$120:$AJ$120,MATCH($L170,$Z$105:$AJ$105,1)):INDEX($Z$120:$AJ$120,MATCH($L170,$Z$105:$AJ$105,1)+1),
INDEX($Z$105:$AJ$105,MATCH($L170,$Z$105:$AJ$105,1)):INDEX($Z$105:$AJ$105,MATCH($L170,$Z$105:$AJ$105,1)+1)),0)</f>
        <v>1105.5032645103079</v>
      </c>
      <c r="W170" s="162">
        <f>ABS($L170-$L171)*IF($B170,FORECAST($L170,
INDEX($Z$121:$AJ$121,MATCH($L170,$Z$105:$AJ$105,1)):INDEX($Z$121:$AJ$121,MATCH($L170,$Z$105:$AJ$105,1)+1),
INDEX($Z$105:$AJ$105,MATCH($L170,$Z$105:$AJ$105,1)):INDEX($Z$105:$AJ$105,MATCH($L170,$Z$105:$AJ$105,1)+1)),0)</f>
        <v>1136.9647754501441</v>
      </c>
      <c r="X170" s="162">
        <f>ABS($L170-$L171)*IF($B170,FORECAST($L170,
INDEX($Z$122:$AJ$122,MATCH($L170,$Z$105:$AJ$105,1)):INDEX($Z$122:$AJ$122,MATCH($L170,$Z$105:$AJ$105,1)+1),
INDEX($Z$105:$AJ$105,MATCH($L170,$Z$105:$AJ$105,1)):INDEX($Z$105:$AJ$105,MATCH($L170,$Z$105:$AJ$105,1)+1)),0)</f>
        <v>998.80257896083231</v>
      </c>
      <c r="AM170" s="44">
        <f t="shared" si="93"/>
        <v>960</v>
      </c>
      <c r="AN170" s="45">
        <f t="shared" si="55"/>
        <v>979</v>
      </c>
      <c r="AO170" s="54">
        <f t="shared" ref="AO170:AO206" si="99">IF(($AG$42=0),0,
IF($AG$42&gt;0,IF(AND((AM170&gt;($F$84-($AG$43/2))),(AM170&lt;($F$84+($AG$43/2)))),(SQRT(($D$84^2)-((AM170-$F$84)^2))+$G$84),0),
IF(AND((AM170&gt;($F$84-($AG$43/2))),(AM170&lt;($F$84+($AG$43/2)))),($G$84-SQRT(($D$84^2)-((AM170-$F$84)^2))),0)))</f>
        <v>0.82360058113408741</v>
      </c>
      <c r="AP170" s="54">
        <f t="shared" ref="AP170:AP206" si="100">IF(($AG$45=0),0,
IF($AG$45&gt;0,IF(AND((AM170&gt;($F$85-($AG$46/2))),(AM170&lt;($F$85+($AG$46/2)))),(SQRT(($D$85^2)-((AM170-$F$85)^2))+$G$85),0),
IF(AND((AM170&gt;($F$85-($AG$46/2))),(AM170&lt;($F$85+($AG$46/2)))),($G$85-SQRT(($D$85^2)-((AM170-$F$85)^2))),0)))</f>
        <v>0.82360058113408741</v>
      </c>
      <c r="AQ170" s="54">
        <f t="shared" si="73"/>
        <v>1.6472011622681748</v>
      </c>
      <c r="AR170" s="46">
        <f t="shared" ref="AR170:AR201" si="101">(2*AQ170)*RADIANS($AG$22/2)</f>
        <v>5.1460859866420101</v>
      </c>
      <c r="AS170" s="47">
        <f t="shared" si="40"/>
        <v>2.8949383325676447E-4</v>
      </c>
      <c r="AT170" s="47">
        <f t="shared" si="95"/>
        <v>1.2568267339079734E-6</v>
      </c>
      <c r="AU170" s="48">
        <f t="shared" si="41"/>
        <v>197.82674905765356</v>
      </c>
      <c r="AV170" s="48">
        <f t="shared" ref="AV170:AV201" si="102">AN170+AU170-$AU$104</f>
        <v>1071.5781748739882</v>
      </c>
      <c r="AW170" s="140">
        <f t="shared" si="42"/>
        <v>172.02514736789198</v>
      </c>
      <c r="AX170" s="53"/>
      <c r="AZ170" s="50">
        <f t="shared" si="43"/>
        <v>274.30123950758178</v>
      </c>
      <c r="BA170" s="50">
        <f t="shared" si="44"/>
        <v>274.30123950758178</v>
      </c>
      <c r="BB170" s="50">
        <f t="shared" ref="BB170:BB196" si="103">L170/$G$70</f>
        <v>275.84342099480415</v>
      </c>
      <c r="BD170" s="50">
        <f t="shared" ref="BD170:BD206" si="104">AM170/$G$72</f>
        <v>960</v>
      </c>
      <c r="BE170" s="50">
        <f t="shared" ref="BE170:BE206" si="105">AN170/$G$71</f>
        <v>979</v>
      </c>
      <c r="BF170" s="53">
        <f t="shared" ref="BF170:BF206" si="106">AQ170/$G$72</f>
        <v>1.6472011622681748</v>
      </c>
      <c r="BG170" s="53">
        <f t="shared" si="45"/>
        <v>2.8949383325676447E-4</v>
      </c>
      <c r="BH170" s="53">
        <f t="shared" si="46"/>
        <v>1071.5781748739882</v>
      </c>
      <c r="BI170" s="127">
        <f t="shared" si="47"/>
        <v>172.02514736789198</v>
      </c>
      <c r="BK170" s="44">
        <f t="shared" si="94"/>
        <v>960</v>
      </c>
      <c r="BL170" s="45">
        <f t="shared" si="57"/>
        <v>979</v>
      </c>
      <c r="BM170" s="119" cm="1">
        <f t="array" ref="BM170">IF(($AG$51=0),0,
_xlfn.IFS(BK170&lt;=$BL$102,($AG$53*(1-(BK170/$BL$102))),AND(BK170&gt;$BL$102,BK170&lt;($AG$55+$BL$102)),0,BK170&gt;=($AG$55+$BL$102),($AG$53*((BK170-($AG$55+$BL$102))/$BL$102)))-$AG$54)</f>
        <v>0</v>
      </c>
      <c r="BN170" s="119" cm="1">
        <f t="array" ref="BN170">IF(($AG$51=0),0,
_xlfn.IFS(BK170&lt;=$BL$102,($BL$103*(1-(BK170/$BL$102))),AND(BK170&gt;$BL$102,BK170&lt;($AG$55+$BL$102)),0,BK170&gt;=($AG$55+$BL$102),($BL$103*((BK170-($AG$55+$BL$102))/$BL$102))))</f>
        <v>0</v>
      </c>
      <c r="BO170" s="120">
        <f t="shared" ref="BO170:BO201" si="107">SQRT((BM170^2+BN170^2)+$AG$51^2)-$AG$51</f>
        <v>0</v>
      </c>
      <c r="BP170" s="121">
        <f t="shared" ref="BP170:BP201" si="108">IF($AG$51=0,0,(BO170/$AG$51))</f>
        <v>0</v>
      </c>
      <c r="BQ170" s="121">
        <f t="shared" si="58"/>
        <v>0</v>
      </c>
      <c r="BR170" s="48">
        <f t="shared" ref="BR170:BR201" si="109">(BP170+BQ170)*$AG$16*$AG$18</f>
        <v>0</v>
      </c>
      <c r="BS170" s="48">
        <f t="shared" ref="BS170:BS201" si="110">BL170+BR170-$BQ$104</f>
        <v>979</v>
      </c>
      <c r="BU170" s="122"/>
      <c r="BW170" s="50">
        <f t="shared" si="64"/>
        <v>960</v>
      </c>
      <c r="BX170" s="50">
        <f t="shared" si="65"/>
        <v>979</v>
      </c>
      <c r="BY170" s="53">
        <f t="shared" si="66"/>
        <v>0</v>
      </c>
      <c r="BZ170" s="53">
        <f t="shared" si="67"/>
        <v>0</v>
      </c>
      <c r="CA170" s="53">
        <f t="shared" si="68"/>
        <v>979</v>
      </c>
      <c r="CC170" s="126">
        <f t="shared" si="54"/>
        <v>1071.5781748739882</v>
      </c>
      <c r="CD170" s="127">
        <f t="shared" ref="CD170:CD201" si="111">($AG$15*$AG$18)/(CC170)</f>
        <v>8.8187686363724875</v>
      </c>
    </row>
    <row r="171" spans="2:82" x14ac:dyDescent="0.35">
      <c r="B171" s="50" t="b">
        <f t="shared" ref="B171:B196" si="112">IF(AND($L171&gt;$AE$102,$L171&lt;$AF$102),TRUE,FALSE)</f>
        <v>1</v>
      </c>
      <c r="C171" s="21">
        <f t="shared" ref="C171:C196" si="113">($AG$22/90)+C170</f>
        <v>129.27777777777791</v>
      </c>
      <c r="D171" s="13">
        <f t="shared" ref="D171:D196" si="114">D170+J170</f>
        <v>3.3874943349580988</v>
      </c>
      <c r="E171" s="143">
        <f t="shared" ref="E171:E196" si="115">IF($D$71&lt;0,MAX(D171/((1/$D$82)+(1/$D$81)),-(N171-G171)),MIN(D171/((1/$D$82)+(1/$D$81)),(N171-G171)))</f>
        <v>88.284301465306726</v>
      </c>
      <c r="F171" s="52">
        <f t="shared" ref="F171:F196" si="116">($D$88/90)+F170</f>
        <v>2.5656043186391022</v>
      </c>
      <c r="G171" s="50">
        <f t="shared" ref="G171:G196" si="117">MIN(F171/((1/$D$82)+(1/$D$81)),N171)</f>
        <v>184.17463042032921</v>
      </c>
      <c r="H171" s="50">
        <f t="shared" si="96"/>
        <v>272.45893188563593</v>
      </c>
      <c r="I171" s="16">
        <f t="shared" ref="I171:I196" si="118">E171*$D$79</f>
        <v>4.5371149862846867</v>
      </c>
      <c r="J171" s="22">
        <f t="shared" ref="J171:J195" si="119">I171*$D$74*1000/$D$75</f>
        <v>2.0561890036251185E-2</v>
      </c>
      <c r="K171" s="15">
        <f t="shared" si="59"/>
        <v>403.611978849173</v>
      </c>
      <c r="L171" s="15">
        <f t="shared" si="97"/>
        <v>272.61869560903278</v>
      </c>
      <c r="M171" s="17">
        <f t="shared" ref="M171:M196" si="120">ABS(H171/L171)</f>
        <v>0.99941396637145541</v>
      </c>
      <c r="N171" s="15">
        <f t="shared" ref="N171:N196" si="121">IF(L171&gt;$D$97,$D$98,($D$94*L171^2)+($D$95*L171)+($D$96))*IF($D$39="Wet Dirty",$D$99,1)</f>
        <v>272.45893188563593</v>
      </c>
      <c r="O171" s="17">
        <f t="shared" ref="O171:O196" si="122">N171/L171</f>
        <v>0.99941396637145541</v>
      </c>
      <c r="P171" s="15">
        <f t="shared" ref="P171:P196" si="123">IF(M171&gt;=O171,1,0)</f>
        <v>1</v>
      </c>
      <c r="Q171" s="7">
        <f t="shared" ref="Q171:Q196" si="124">IF(P171&lt;&gt;0,J171+(F171-F170),0)</f>
        <v>5.9434682742904407E-2</v>
      </c>
      <c r="R171" s="17">
        <f t="shared" si="98"/>
        <v>0.99941396637145541</v>
      </c>
      <c r="S171" s="17">
        <f t="shared" ref="S171:S196" si="125">R171*$D$99</f>
        <v>0.69314194441891264</v>
      </c>
      <c r="T171" s="162">
        <f t="shared" ref="T171:T195" si="126">ABS(L171-L172)*IF($B171,ABS(AVERAGE(H171:H172)),0)</f>
        <v>832.06309672617908</v>
      </c>
      <c r="U171" s="162">
        <f>ABS($L171-$L172)*IF($B171,FORECAST($L171,
INDEX($Z$119:$AJ$119,MATCH($L171,$Z$105:$AJ$105,1)):INDEX($Z$119:$AJ$119,MATCH($L171,$Z$105:$AJ$105,1)+1),
INDEX($Z$105:$AJ$105,MATCH($L171,$Z$105:$AJ$105,1)):INDEX($Z$105:$AJ$105,MATCH($L171,$Z$105:$AJ$105,1)+1)),0)</f>
        <v>0</v>
      </c>
      <c r="V171" s="162">
        <f>ABS($L171-$L172)*IF($B171,FORECAST($L171,
INDEX($Z$120:$AJ$120,MATCH($L171,$Z$105:$AJ$105,1)):INDEX($Z$120:$AJ$120,MATCH($L171,$Z$105:$AJ$105,1)+1),
INDEX($Z$105:$AJ$105,MATCH($L171,$Z$105:$AJ$105,1)):INDEX($Z$105:$AJ$105,MATCH($L171,$Z$105:$AJ$105,1)+1)),0)</f>
        <v>1051.4780919364189</v>
      </c>
      <c r="W171" s="162">
        <f>ABS($L171-$L172)*IF($B171,FORECAST($L171,
INDEX($Z$121:$AJ$121,MATCH($L171,$Z$105:$AJ$105,1)):INDEX($Z$121:$AJ$121,MATCH($L171,$Z$105:$AJ$105,1)+1),
INDEX($Z$105:$AJ$105,MATCH($L171,$Z$105:$AJ$105,1)):INDEX($Z$105:$AJ$105,MATCH($L171,$Z$105:$AJ$105,1)+1)),0)</f>
        <v>1080.9381539204223</v>
      </c>
      <c r="X171" s="162">
        <f>ABS($L171-$L172)*IF($B171,FORECAST($L171,
INDEX($Z$122:$AJ$122,MATCH($L171,$Z$105:$AJ$105,1)):INDEX($Z$122:$AJ$122,MATCH($L171,$Z$105:$AJ$105,1)+1),
INDEX($Z$105:$AJ$105,MATCH($L171,$Z$105:$AJ$105,1)):INDEX($Z$105:$AJ$105,MATCH($L171,$Z$105:$AJ$105,1)+1)),0)</f>
        <v>950.51833416712668</v>
      </c>
      <c r="AM171" s="44">
        <f t="shared" ref="AM171:AM206" si="127">AM170+(($AG$18*1000)/100)</f>
        <v>975</v>
      </c>
      <c r="AN171" s="45">
        <f t="shared" si="55"/>
        <v>979</v>
      </c>
      <c r="AO171" s="54">
        <f t="shared" si="99"/>
        <v>0.79750064597465098</v>
      </c>
      <c r="AP171" s="54">
        <f t="shared" si="100"/>
        <v>0.79750064597465098</v>
      </c>
      <c r="AQ171" s="54">
        <f t="shared" ref="AQ171:AQ206" si="128">(AO171+AP171)</f>
        <v>1.595001291949302</v>
      </c>
      <c r="AR171" s="46">
        <f t="shared" si="101"/>
        <v>4.9830063171360779</v>
      </c>
      <c r="AS171" s="47">
        <f t="shared" ref="AS171:AS206" si="129">(AR171/(($D$74*1000)+$D$87))</f>
        <v>2.8031976217165908E-4</v>
      </c>
      <c r="AT171" s="47">
        <f t="shared" si="95"/>
        <v>1.2568275179741812E-6</v>
      </c>
      <c r="AU171" s="48">
        <f t="shared" ref="AU171:AU206" si="130">(AS171+AT171)*$AG$16*$AG$18</f>
        <v>191.58471162482647</v>
      </c>
      <c r="AV171" s="48">
        <f t="shared" si="102"/>
        <v>1065.3361374411611</v>
      </c>
      <c r="AW171" s="140">
        <f t="shared" ref="AW171:AW206" si="131">(AR171-$AR$208)/((1/$D$82)+(1/$D$81))</f>
        <v>160.31830011864182</v>
      </c>
      <c r="AX171" s="53"/>
      <c r="AZ171" s="50">
        <f t="shared" ref="AZ171:AZ196" si="132">H171/$G$70</f>
        <v>272.45893188563593</v>
      </c>
      <c r="BA171" s="50">
        <f t="shared" ref="BA171:BA196" si="133">ABS(AZ171)</f>
        <v>272.45893188563593</v>
      </c>
      <c r="BB171" s="50">
        <f t="shared" si="103"/>
        <v>272.61869560903278</v>
      </c>
      <c r="BD171" s="50">
        <f t="shared" si="104"/>
        <v>975</v>
      </c>
      <c r="BE171" s="50">
        <f t="shared" si="105"/>
        <v>979</v>
      </c>
      <c r="BF171" s="53">
        <f t="shared" si="106"/>
        <v>1.595001291949302</v>
      </c>
      <c r="BG171" s="53">
        <f t="shared" ref="BG171:BG206" si="134">AS171/$G$72</f>
        <v>2.8031976217165908E-4</v>
      </c>
      <c r="BH171" s="53">
        <f t="shared" ref="BH171:BH206" si="135">AV171/$G$71</f>
        <v>1065.3361374411611</v>
      </c>
      <c r="BI171" s="127">
        <f t="shared" ref="BI171:BI206" si="136">AW171/$G$70</f>
        <v>160.31830011864182</v>
      </c>
      <c r="BK171" s="44">
        <f t="shared" ref="BK171:BK206" si="137">BK170+(($AG$18*1000)/100)</f>
        <v>975</v>
      </c>
      <c r="BL171" s="45">
        <f t="shared" si="57"/>
        <v>979</v>
      </c>
      <c r="BM171" s="119" cm="1">
        <f t="array" ref="BM171">IF(($AG$51=0),0,
_xlfn.IFS(BK171&lt;=$BL$102,($AG$53*(1-(BK171/$BL$102))),AND(BK171&gt;$BL$102,BK171&lt;($AG$55+$BL$102)),0,BK171&gt;=($AG$55+$BL$102),($AG$53*((BK171-($AG$55+$BL$102))/$BL$102)))-$AG$54)</f>
        <v>0</v>
      </c>
      <c r="BN171" s="119" cm="1">
        <f t="array" ref="BN171">IF(($AG$51=0),0,
_xlfn.IFS(BK171&lt;=$BL$102,($BL$103*(1-(BK171/$BL$102))),AND(BK171&gt;$BL$102,BK171&lt;($AG$55+$BL$102)),0,BK171&gt;=($AG$55+$BL$102),($BL$103*((BK171-($AG$55+$BL$102))/$BL$102))))</f>
        <v>0</v>
      </c>
      <c r="BO171" s="120">
        <f t="shared" si="107"/>
        <v>0</v>
      </c>
      <c r="BP171" s="121">
        <f t="shared" si="108"/>
        <v>0</v>
      </c>
      <c r="BQ171" s="121">
        <f t="shared" si="58"/>
        <v>0</v>
      </c>
      <c r="BR171" s="48">
        <f t="shared" si="109"/>
        <v>0</v>
      </c>
      <c r="BS171" s="48">
        <f t="shared" si="110"/>
        <v>979</v>
      </c>
      <c r="BU171" s="122"/>
      <c r="BW171" s="50">
        <f t="shared" si="64"/>
        <v>975</v>
      </c>
      <c r="BX171" s="50">
        <f t="shared" si="65"/>
        <v>979</v>
      </c>
      <c r="BY171" s="53">
        <f t="shared" si="66"/>
        <v>0</v>
      </c>
      <c r="BZ171" s="53">
        <f t="shared" si="67"/>
        <v>0</v>
      </c>
      <c r="CA171" s="53">
        <f t="shared" si="68"/>
        <v>979</v>
      </c>
      <c r="CC171" s="126">
        <f t="shared" ref="CC171:CC206" si="138">(BH171-BE171)+(CA171-BE171)+BE171</f>
        <v>1065.3361374411611</v>
      </c>
      <c r="CD171" s="127">
        <f t="shared" si="111"/>
        <v>8.8704397305981058</v>
      </c>
    </row>
    <row r="172" spans="2:82" x14ac:dyDescent="0.35">
      <c r="B172" s="50" t="b">
        <f t="shared" si="112"/>
        <v>1</v>
      </c>
      <c r="C172" s="21">
        <f t="shared" si="113"/>
        <v>131.26666666666679</v>
      </c>
      <c r="D172" s="13">
        <f t="shared" si="114"/>
        <v>3.40805622499435</v>
      </c>
      <c r="E172" s="143">
        <f t="shared" si="115"/>
        <v>83.714443838239134</v>
      </c>
      <c r="F172" s="52">
        <f t="shared" si="116"/>
        <v>2.6044771113457554</v>
      </c>
      <c r="G172" s="50">
        <f t="shared" si="117"/>
        <v>186.96515512366753</v>
      </c>
      <c r="H172" s="50">
        <f t="shared" si="96"/>
        <v>270.67959896190666</v>
      </c>
      <c r="I172" s="16">
        <f t="shared" si="118"/>
        <v>4.3022604404501292</v>
      </c>
      <c r="J172" s="22">
        <f t="shared" si="119"/>
        <v>1.9497545544087839E-2</v>
      </c>
      <c r="K172" s="15">
        <f t="shared" si="59"/>
        <v>399.0758638628883</v>
      </c>
      <c r="L172" s="15">
        <f t="shared" si="97"/>
        <v>269.55478815460202</v>
      </c>
      <c r="M172" s="17">
        <f t="shared" si="120"/>
        <v>1.0041728466966038</v>
      </c>
      <c r="N172" s="15">
        <f t="shared" si="121"/>
        <v>270.67959896190666</v>
      </c>
      <c r="O172" s="17">
        <f t="shared" si="122"/>
        <v>1.0041728466966038</v>
      </c>
      <c r="P172" s="15">
        <f t="shared" si="123"/>
        <v>1</v>
      </c>
      <c r="Q172" s="7">
        <f t="shared" si="124"/>
        <v>5.8370338250741061E-2</v>
      </c>
      <c r="R172" s="17">
        <f t="shared" si="98"/>
        <v>1.0041728466966038</v>
      </c>
      <c r="S172" s="17">
        <f t="shared" si="125"/>
        <v>0.69644245819280592</v>
      </c>
      <c r="T172" s="162">
        <f t="shared" si="126"/>
        <v>783.91012733386674</v>
      </c>
      <c r="U172" s="162">
        <f>ABS($L172-$L173)*IF($B172,FORECAST($L172,
INDEX($Z$119:$AJ$119,MATCH($L172,$Z$105:$AJ$105,1)):INDEX($Z$119:$AJ$119,MATCH($L172,$Z$105:$AJ$105,1)+1),
INDEX($Z$105:$AJ$105,MATCH($L172,$Z$105:$AJ$105,1)):INDEX($Z$105:$AJ$105,MATCH($L172,$Z$105:$AJ$105,1)+1)),0)</f>
        <v>0</v>
      </c>
      <c r="V172" s="162">
        <f>ABS($L172-$L173)*IF($B172,FORECAST($L172,
INDEX($Z$120:$AJ$120,MATCH($L172,$Z$105:$AJ$105,1)):INDEX($Z$120:$AJ$120,MATCH($L172,$Z$105:$AJ$105,1)+1),
INDEX($Z$105:$AJ$105,MATCH($L172,$Z$105:$AJ$105,1)):INDEX($Z$105:$AJ$105,MATCH($L172,$Z$105:$AJ$105,1)+1)),0)</f>
        <v>998.0354198690909</v>
      </c>
      <c r="W172" s="162">
        <f>ABS($L172-$L173)*IF($B172,FORECAST($L172,
INDEX($Z$121:$AJ$121,MATCH($L172,$Z$105:$AJ$105,1)):INDEX($Z$121:$AJ$121,MATCH($L172,$Z$105:$AJ$105,1)+1),
INDEX($Z$105:$AJ$105,MATCH($L172,$Z$105:$AJ$105,1)):INDEX($Z$105:$AJ$105,MATCH($L172,$Z$105:$AJ$105,1)+1)),0)</f>
        <v>1025.5805906467183</v>
      </c>
      <c r="X172" s="162">
        <f>ABS($L172-$L173)*IF($B172,FORECAST($L172,
INDEX($Z$122:$AJ$122,MATCH($L172,$Z$105:$AJ$105,1)):INDEX($Z$122:$AJ$122,MATCH($L172,$Z$105:$AJ$105,1)+1),
INDEX($Z$105:$AJ$105,MATCH($L172,$Z$105:$AJ$105,1)):INDEX($Z$105:$AJ$105,MATCH($L172,$Z$105:$AJ$105,1)+1)),0)</f>
        <v>902.68094654468143</v>
      </c>
      <c r="AM172" s="44">
        <f t="shared" si="127"/>
        <v>990</v>
      </c>
      <c r="AN172" s="45">
        <f t="shared" ref="AN172:AN206" si="139">AN171</f>
        <v>979</v>
      </c>
      <c r="AO172" s="54">
        <f t="shared" si="99"/>
        <v>0.7696007092599757</v>
      </c>
      <c r="AP172" s="54">
        <f t="shared" si="100"/>
        <v>0.7696007092599757</v>
      </c>
      <c r="AQ172" s="54">
        <f t="shared" si="128"/>
        <v>1.5392014185199514</v>
      </c>
      <c r="AR172" s="46">
        <f t="shared" si="101"/>
        <v>4.8086797362127278</v>
      </c>
      <c r="AS172" s="47">
        <f t="shared" si="129"/>
        <v>2.7051299441048195E-4</v>
      </c>
      <c r="AT172" s="47">
        <f t="shared" ref="AT172:AT203" si="140">((AS172-AS171)*$D$90)+((AS172-AS170)*0.5*$D$90)-((AS173-AS172)*$D$90)-((AS174-AS172)*0.5*$D$90)</f>
        <v>1.25682835623055E-6</v>
      </c>
      <c r="AU172" s="48">
        <f t="shared" si="130"/>
        <v>184.91218741047118</v>
      </c>
      <c r="AV172" s="48">
        <f t="shared" si="102"/>
        <v>1058.6636132268059</v>
      </c>
      <c r="AW172" s="140">
        <f t="shared" si="131"/>
        <v>147.80408139023393</v>
      </c>
      <c r="AX172" s="53"/>
      <c r="AZ172" s="50">
        <f t="shared" si="132"/>
        <v>270.67959896190666</v>
      </c>
      <c r="BA172" s="50">
        <f t="shared" si="133"/>
        <v>270.67959896190666</v>
      </c>
      <c r="BB172" s="50">
        <f t="shared" si="103"/>
        <v>269.55478815460202</v>
      </c>
      <c r="BD172" s="50">
        <f t="shared" si="104"/>
        <v>990</v>
      </c>
      <c r="BE172" s="50">
        <f t="shared" si="105"/>
        <v>979</v>
      </c>
      <c r="BF172" s="53">
        <f t="shared" si="106"/>
        <v>1.5392014185199514</v>
      </c>
      <c r="BG172" s="53">
        <f t="shared" si="134"/>
        <v>2.7051299441048195E-4</v>
      </c>
      <c r="BH172" s="53">
        <f t="shared" si="135"/>
        <v>1058.6636132268059</v>
      </c>
      <c r="BI172" s="127">
        <f t="shared" si="136"/>
        <v>147.80408139023393</v>
      </c>
      <c r="BK172" s="44">
        <f t="shared" si="137"/>
        <v>990</v>
      </c>
      <c r="BL172" s="45">
        <f t="shared" ref="BL172:BL206" si="141">BL171</f>
        <v>979</v>
      </c>
      <c r="BM172" s="119" cm="1">
        <f t="array" ref="BM172">IF(($AG$51=0),0,
_xlfn.IFS(BK172&lt;=$BL$102,($AG$53*(1-(BK172/$BL$102))),AND(BK172&gt;$BL$102,BK172&lt;($AG$55+$BL$102)),0,BK172&gt;=($AG$55+$BL$102),($AG$53*((BK172-($AG$55+$BL$102))/$BL$102)))-$AG$54)</f>
        <v>0</v>
      </c>
      <c r="BN172" s="119" cm="1">
        <f t="array" ref="BN172">IF(($AG$51=0),0,
_xlfn.IFS(BK172&lt;=$BL$102,($BL$103*(1-(BK172/$BL$102))),AND(BK172&gt;$BL$102,BK172&lt;($AG$55+$BL$102)),0,BK172&gt;=($AG$55+$BL$102),($BL$103*((BK172-($AG$55+$BL$102))/$BL$102))))</f>
        <v>0</v>
      </c>
      <c r="BO172" s="120">
        <f t="shared" si="107"/>
        <v>0</v>
      </c>
      <c r="BP172" s="121">
        <f t="shared" si="108"/>
        <v>0</v>
      </c>
      <c r="BQ172" s="121">
        <f t="shared" ref="BQ172:BQ204" si="142">((BP172-BP171)*$D$90)+((BP172-BP170)*0.5*$D$90)-((BP173-BP172)*$D$90)-((BP174-BP172)*0.5*$D$90)</f>
        <v>0</v>
      </c>
      <c r="BR172" s="48">
        <f t="shared" si="109"/>
        <v>0</v>
      </c>
      <c r="BS172" s="48">
        <f t="shared" si="110"/>
        <v>979</v>
      </c>
      <c r="BU172" s="122"/>
      <c r="BW172" s="50">
        <f t="shared" si="64"/>
        <v>990</v>
      </c>
      <c r="BX172" s="50">
        <f t="shared" si="65"/>
        <v>979</v>
      </c>
      <c r="BY172" s="53">
        <f t="shared" si="66"/>
        <v>0</v>
      </c>
      <c r="BZ172" s="53">
        <f t="shared" si="67"/>
        <v>0</v>
      </c>
      <c r="CA172" s="53">
        <f t="shared" si="68"/>
        <v>979</v>
      </c>
      <c r="CC172" s="126">
        <f t="shared" si="138"/>
        <v>1058.6636132268059</v>
      </c>
      <c r="CD172" s="127">
        <f t="shared" si="111"/>
        <v>8.9263481637915252</v>
      </c>
    </row>
    <row r="173" spans="2:82" x14ac:dyDescent="0.35">
      <c r="B173" s="50" t="b">
        <f t="shared" si="112"/>
        <v>1</v>
      </c>
      <c r="C173" s="21">
        <f t="shared" si="113"/>
        <v>133.25555555555567</v>
      </c>
      <c r="D173" s="13">
        <f t="shared" si="114"/>
        <v>3.427553770538438</v>
      </c>
      <c r="E173" s="143">
        <f t="shared" si="115"/>
        <v>79.210696889945694</v>
      </c>
      <c r="F173" s="52">
        <f t="shared" si="116"/>
        <v>2.6433499040524087</v>
      </c>
      <c r="G173" s="50">
        <f t="shared" si="117"/>
        <v>189.75567982700588</v>
      </c>
      <c r="H173" s="50">
        <f t="shared" si="96"/>
        <v>268.96637671695157</v>
      </c>
      <c r="I173" s="16">
        <f t="shared" si="118"/>
        <v>4.0708034607336829</v>
      </c>
      <c r="J173" s="22">
        <f t="shared" si="119"/>
        <v>1.8448598585626568E-2</v>
      </c>
      <c r="K173" s="15">
        <f t="shared" ref="K173:K195" si="143">(K172-I172)+0.001</f>
        <v>394.77460342243813</v>
      </c>
      <c r="L173" s="15">
        <f t="shared" si="97"/>
        <v>266.64951261225139</v>
      </c>
      <c r="M173" s="17">
        <f t="shared" si="120"/>
        <v>1.0086887993231373</v>
      </c>
      <c r="N173" s="15">
        <f t="shared" si="121"/>
        <v>268.96637671695157</v>
      </c>
      <c r="O173" s="17">
        <f t="shared" si="122"/>
        <v>1.0086887993231373</v>
      </c>
      <c r="P173" s="15">
        <f t="shared" si="123"/>
        <v>1</v>
      </c>
      <c r="Q173" s="7">
        <f t="shared" si="124"/>
        <v>5.7321391292279797E-2</v>
      </c>
      <c r="R173" s="17">
        <f t="shared" si="98"/>
        <v>1.0086887993231373</v>
      </c>
      <c r="S173" s="17">
        <f t="shared" si="125"/>
        <v>0.69957448985314363</v>
      </c>
      <c r="T173" s="162">
        <f t="shared" si="126"/>
        <v>737.11192731955816</v>
      </c>
      <c r="U173" s="162">
        <f>ABS($L173-$L174)*IF($B173,FORECAST($L173,
INDEX($Z$119:$AJ$119,MATCH($L173,$Z$105:$AJ$105,1)):INDEX($Z$119:$AJ$119,MATCH($L173,$Z$105:$AJ$105,1)+1),
INDEX($Z$105:$AJ$105,MATCH($L173,$Z$105:$AJ$105,1)):INDEX($Z$105:$AJ$105,MATCH($L173,$Z$105:$AJ$105,1)+1)),0)</f>
        <v>0</v>
      </c>
      <c r="V173" s="162">
        <f>ABS($L173-$L174)*IF($B173,FORECAST($L173,
INDEX($Z$120:$AJ$120,MATCH($L173,$Z$105:$AJ$105,1)):INDEX($Z$120:$AJ$120,MATCH($L173,$Z$105:$AJ$105,1)+1),
INDEX($Z$105:$AJ$105,MATCH($L173,$Z$105:$AJ$105,1)):INDEX($Z$105:$AJ$105,MATCH($L173,$Z$105:$AJ$105,1)+1)),0)</f>
        <v>945.2241742378618</v>
      </c>
      <c r="W173" s="162">
        <f>ABS($L173-$L174)*IF($B173,FORECAST($L173,
INDEX($Z$121:$AJ$121,MATCH($L173,$Z$105:$AJ$105,1)):INDEX($Z$121:$AJ$121,MATCH($L173,$Z$105:$AJ$105,1)+1),
INDEX($Z$105:$AJ$105,MATCH($L173,$Z$105:$AJ$105,1)):INDEX($Z$105:$AJ$105,MATCH($L173,$Z$105:$AJ$105,1)+1)),0)</f>
        <v>970.9375375259666</v>
      </c>
      <c r="X173" s="162">
        <f>ABS($L173-$L174)*IF($B173,FORECAST($L173,
INDEX($Z$122:$AJ$122,MATCH($L173,$Z$105:$AJ$105,1)):INDEX($Z$122:$AJ$122,MATCH($L173,$Z$105:$AJ$105,1)+1),
INDEX($Z$105:$AJ$105,MATCH($L173,$Z$105:$AJ$105,1)):INDEX($Z$105:$AJ$105,MATCH($L173,$Z$105:$AJ$105,1)+1)),0)</f>
        <v>855.34014276508367</v>
      </c>
      <c r="AM173" s="44">
        <f t="shared" si="127"/>
        <v>1005</v>
      </c>
      <c r="AN173" s="45">
        <f t="shared" si="139"/>
        <v>979</v>
      </c>
      <c r="AO173" s="54">
        <f t="shared" si="99"/>
        <v>0.73990076979680452</v>
      </c>
      <c r="AP173" s="54">
        <f t="shared" si="100"/>
        <v>0.73990076979680452</v>
      </c>
      <c r="AQ173" s="54">
        <f t="shared" si="128"/>
        <v>1.479801539593609</v>
      </c>
      <c r="AR173" s="46">
        <f t="shared" si="101"/>
        <v>4.6231062364161577</v>
      </c>
      <c r="AS173" s="47">
        <f t="shared" si="129"/>
        <v>2.600735295538059E-4</v>
      </c>
      <c r="AT173" s="47">
        <f t="shared" si="140"/>
        <v>1.2568292605314651E-6</v>
      </c>
      <c r="AU173" s="48">
        <f t="shared" si="130"/>
        <v>177.80917613727516</v>
      </c>
      <c r="AV173" s="48">
        <f t="shared" si="102"/>
        <v>1051.5606019536099</v>
      </c>
      <c r="AW173" s="140">
        <f t="shared" si="131"/>
        <v>134.48249064744564</v>
      </c>
      <c r="AX173" s="53"/>
      <c r="AZ173" s="50">
        <f t="shared" si="132"/>
        <v>268.96637671695157</v>
      </c>
      <c r="BA173" s="50">
        <f t="shared" si="133"/>
        <v>268.96637671695157</v>
      </c>
      <c r="BB173" s="50">
        <f t="shared" si="103"/>
        <v>266.64951261225139</v>
      </c>
      <c r="BD173" s="50">
        <f t="shared" si="104"/>
        <v>1005</v>
      </c>
      <c r="BE173" s="50">
        <f t="shared" si="105"/>
        <v>979</v>
      </c>
      <c r="BF173" s="53">
        <f t="shared" si="106"/>
        <v>1.479801539593609</v>
      </c>
      <c r="BG173" s="53">
        <f t="shared" si="134"/>
        <v>2.600735295538059E-4</v>
      </c>
      <c r="BH173" s="53">
        <f t="shared" si="135"/>
        <v>1051.5606019536099</v>
      </c>
      <c r="BI173" s="127">
        <f t="shared" si="136"/>
        <v>134.48249064744564</v>
      </c>
      <c r="BK173" s="44">
        <f t="shared" si="137"/>
        <v>1005</v>
      </c>
      <c r="BL173" s="45">
        <f t="shared" si="141"/>
        <v>979</v>
      </c>
      <c r="BM173" s="119" cm="1">
        <f t="array" ref="BM173">IF(($AG$51=0),0,
_xlfn.IFS(BK173&lt;=$BL$102,($AG$53*(1-(BK173/$BL$102))),AND(BK173&gt;$BL$102,BK173&lt;($AG$55+$BL$102)),0,BK173&gt;=($AG$55+$BL$102),($AG$53*((BK173-($AG$55+$BL$102))/$BL$102)))-$AG$54)</f>
        <v>0</v>
      </c>
      <c r="BN173" s="119" cm="1">
        <f t="array" ref="BN173">IF(($AG$51=0),0,
_xlfn.IFS(BK173&lt;=$BL$102,($BL$103*(1-(BK173/$BL$102))),AND(BK173&gt;$BL$102,BK173&lt;($AG$55+$BL$102)),0,BK173&gt;=($AG$55+$BL$102),($BL$103*((BK173-($AG$55+$BL$102))/$BL$102))))</f>
        <v>0</v>
      </c>
      <c r="BO173" s="120">
        <f t="shared" si="107"/>
        <v>0</v>
      </c>
      <c r="BP173" s="121">
        <f t="shared" si="108"/>
        <v>0</v>
      </c>
      <c r="BQ173" s="121">
        <f t="shared" si="142"/>
        <v>0</v>
      </c>
      <c r="BR173" s="48">
        <f t="shared" si="109"/>
        <v>0</v>
      </c>
      <c r="BS173" s="48">
        <f t="shared" si="110"/>
        <v>979</v>
      </c>
      <c r="BU173" s="122"/>
      <c r="BW173" s="50">
        <f t="shared" si="64"/>
        <v>1005</v>
      </c>
      <c r="BX173" s="50">
        <f t="shared" si="65"/>
        <v>979</v>
      </c>
      <c r="BY173" s="53">
        <f t="shared" si="66"/>
        <v>0</v>
      </c>
      <c r="BZ173" s="53">
        <f t="shared" si="67"/>
        <v>0</v>
      </c>
      <c r="CA173" s="53">
        <f t="shared" si="68"/>
        <v>979</v>
      </c>
      <c r="CC173" s="126">
        <f t="shared" si="138"/>
        <v>1051.5606019536099</v>
      </c>
      <c r="CD173" s="127">
        <f t="shared" si="111"/>
        <v>8.9866432637772888</v>
      </c>
    </row>
    <row r="174" spans="2:82" x14ac:dyDescent="0.35">
      <c r="B174" s="50" t="b">
        <f t="shared" si="112"/>
        <v>1</v>
      </c>
      <c r="C174" s="21">
        <f t="shared" si="113"/>
        <v>135.24444444444455</v>
      </c>
      <c r="D174" s="13">
        <f t="shared" si="114"/>
        <v>3.4460023691240647</v>
      </c>
      <c r="E174" s="143">
        <f t="shared" si="115"/>
        <v>74.775826252298543</v>
      </c>
      <c r="F174" s="52">
        <f t="shared" si="116"/>
        <v>2.6822226967590619</v>
      </c>
      <c r="G174" s="50">
        <f t="shared" si="117"/>
        <v>192.5462045303442</v>
      </c>
      <c r="H174" s="50">
        <f t="shared" si="96"/>
        <v>267.32203078264274</v>
      </c>
      <c r="I174" s="16">
        <f t="shared" si="118"/>
        <v>3.842886178744314</v>
      </c>
      <c r="J174" s="22">
        <f t="shared" si="119"/>
        <v>1.7415693291448816E-2</v>
      </c>
      <c r="K174" s="15">
        <f t="shared" si="143"/>
        <v>390.70479996170445</v>
      </c>
      <c r="L174" s="15">
        <f t="shared" si="97"/>
        <v>263.90057410449475</v>
      </c>
      <c r="M174" s="17">
        <f t="shared" si="120"/>
        <v>1.0129649459451089</v>
      </c>
      <c r="N174" s="15">
        <f t="shared" si="121"/>
        <v>267.32203078264274</v>
      </c>
      <c r="O174" s="17">
        <f t="shared" si="122"/>
        <v>1.0129649459451089</v>
      </c>
      <c r="P174" s="15">
        <f t="shared" si="123"/>
        <v>1</v>
      </c>
      <c r="Q174" s="7">
        <f t="shared" si="124"/>
        <v>5.6288485998102045E-2</v>
      </c>
      <c r="R174" s="17">
        <f t="shared" si="98"/>
        <v>1.0129649459451089</v>
      </c>
      <c r="S174" s="17">
        <f t="shared" si="125"/>
        <v>0.70254020444580134</v>
      </c>
      <c r="T174" s="162">
        <f t="shared" si="126"/>
        <v>691.65758583431341</v>
      </c>
      <c r="U174" s="162">
        <f>ABS($L174-$L175)*IF($B174,FORECAST($L174,
INDEX($Z$119:$AJ$119,MATCH($L174,$Z$105:$AJ$105,1)):INDEX($Z$119:$AJ$119,MATCH($L174,$Z$105:$AJ$105,1)+1),
INDEX($Z$105:$AJ$105,MATCH($L174,$Z$105:$AJ$105,1)):INDEX($Z$105:$AJ$105,MATCH($L174,$Z$105:$AJ$105,1)+1)),0)</f>
        <v>0</v>
      </c>
      <c r="V174" s="162">
        <f>ABS($L174-$L175)*IF($B174,FORECAST($L174,
INDEX($Z$120:$AJ$120,MATCH($L174,$Z$105:$AJ$105,1)):INDEX($Z$120:$AJ$120,MATCH($L174,$Z$105:$AJ$105,1)+1),
INDEX($Z$105:$AJ$105,MATCH($L174,$Z$105:$AJ$105,1)):INDEX($Z$105:$AJ$105,MATCH($L174,$Z$105:$AJ$105,1)+1)),0)</f>
        <v>893.08863492663704</v>
      </c>
      <c r="W174" s="162">
        <f>ABS($L174-$L175)*IF($B174,FORECAST($L174,
INDEX($Z$121:$AJ$121,MATCH($L174,$Z$105:$AJ$105,1)):INDEX($Z$121:$AJ$121,MATCH($L174,$Z$105:$AJ$105,1)+1),
INDEX($Z$105:$AJ$105,MATCH($L174,$Z$105:$AJ$105,1)):INDEX($Z$105:$AJ$105,MATCH($L174,$Z$105:$AJ$105,1)+1)),0)</f>
        <v>917.04976831319004</v>
      </c>
      <c r="X174" s="162">
        <f>ABS($L174-$L175)*IF($B174,FORECAST($L174,
INDEX($Z$122:$AJ$122,MATCH($L174,$Z$105:$AJ$105,1)):INDEX($Z$122:$AJ$122,MATCH($L174,$Z$105:$AJ$105,1)+1),
INDEX($Z$105:$AJ$105,MATCH($L174,$Z$105:$AJ$105,1)):INDEX($Z$105:$AJ$105,MATCH($L174,$Z$105:$AJ$105,1)+1)),0)</f>
        <v>808.54133824631901</v>
      </c>
      <c r="AM174" s="44">
        <f t="shared" si="127"/>
        <v>1020</v>
      </c>
      <c r="AN174" s="45">
        <f t="shared" si="139"/>
        <v>979</v>
      </c>
      <c r="AO174" s="54">
        <f t="shared" si="99"/>
        <v>0.70840082627546508</v>
      </c>
      <c r="AP174" s="54">
        <f t="shared" si="100"/>
        <v>0.70840082627546508</v>
      </c>
      <c r="AQ174" s="54">
        <f t="shared" si="128"/>
        <v>1.4168016525509302</v>
      </c>
      <c r="AR174" s="46">
        <f t="shared" si="101"/>
        <v>4.4262858095631703</v>
      </c>
      <c r="AS174" s="47">
        <f t="shared" si="129"/>
        <v>2.4900136714128384E-4</v>
      </c>
      <c r="AT174" s="47">
        <f t="shared" si="140"/>
        <v>1.2568302037815598E-6</v>
      </c>
      <c r="AU174" s="48">
        <f t="shared" si="130"/>
        <v>170.2756774735825</v>
      </c>
      <c r="AV174" s="48">
        <f t="shared" si="102"/>
        <v>1044.0271032899172</v>
      </c>
      <c r="AW174" s="140">
        <f t="shared" si="131"/>
        <v>120.35352730283742</v>
      </c>
      <c r="AX174" s="53"/>
      <c r="AZ174" s="50">
        <f t="shared" si="132"/>
        <v>267.32203078264274</v>
      </c>
      <c r="BA174" s="50">
        <f t="shared" si="133"/>
        <v>267.32203078264274</v>
      </c>
      <c r="BB174" s="50">
        <f t="shared" si="103"/>
        <v>263.90057410449475</v>
      </c>
      <c r="BD174" s="50">
        <f t="shared" si="104"/>
        <v>1020</v>
      </c>
      <c r="BE174" s="50">
        <f t="shared" si="105"/>
        <v>979</v>
      </c>
      <c r="BF174" s="53">
        <f t="shared" si="106"/>
        <v>1.4168016525509302</v>
      </c>
      <c r="BG174" s="53">
        <f t="shared" si="134"/>
        <v>2.4900136714128384E-4</v>
      </c>
      <c r="BH174" s="53">
        <f t="shared" si="135"/>
        <v>1044.0271032899172</v>
      </c>
      <c r="BI174" s="127">
        <f t="shared" si="136"/>
        <v>120.35352730283742</v>
      </c>
      <c r="BK174" s="44">
        <f t="shared" si="137"/>
        <v>1020</v>
      </c>
      <c r="BL174" s="45">
        <f t="shared" si="141"/>
        <v>979</v>
      </c>
      <c r="BM174" s="119" cm="1">
        <f t="array" ref="BM174">IF(($AG$51=0),0,
_xlfn.IFS(BK174&lt;=$BL$102,($AG$53*(1-(BK174/$BL$102))),AND(BK174&gt;$BL$102,BK174&lt;($AG$55+$BL$102)),0,BK174&gt;=($AG$55+$BL$102),($AG$53*((BK174-($AG$55+$BL$102))/$BL$102)))-$AG$54)</f>
        <v>0</v>
      </c>
      <c r="BN174" s="119" cm="1">
        <f t="array" ref="BN174">IF(($AG$51=0),0,
_xlfn.IFS(BK174&lt;=$BL$102,($BL$103*(1-(BK174/$BL$102))),AND(BK174&gt;$BL$102,BK174&lt;($AG$55+$BL$102)),0,BK174&gt;=($AG$55+$BL$102),($BL$103*((BK174-($AG$55+$BL$102))/$BL$102))))</f>
        <v>0</v>
      </c>
      <c r="BO174" s="120">
        <f t="shared" si="107"/>
        <v>0</v>
      </c>
      <c r="BP174" s="121">
        <f t="shared" si="108"/>
        <v>0</v>
      </c>
      <c r="BQ174" s="121">
        <f t="shared" si="142"/>
        <v>0</v>
      </c>
      <c r="BR174" s="48">
        <f t="shared" si="109"/>
        <v>0</v>
      </c>
      <c r="BS174" s="48">
        <f t="shared" si="110"/>
        <v>979</v>
      </c>
      <c r="BU174" s="122"/>
      <c r="BW174" s="50">
        <f t="shared" si="64"/>
        <v>1020</v>
      </c>
      <c r="BX174" s="50">
        <f t="shared" si="65"/>
        <v>979</v>
      </c>
      <c r="BY174" s="53">
        <f t="shared" si="66"/>
        <v>0</v>
      </c>
      <c r="BZ174" s="53">
        <f t="shared" si="67"/>
        <v>0</v>
      </c>
      <c r="CA174" s="53">
        <f t="shared" si="68"/>
        <v>979</v>
      </c>
      <c r="CC174" s="126">
        <f t="shared" si="138"/>
        <v>1044.0271032899172</v>
      </c>
      <c r="CD174" s="127">
        <f t="shared" si="111"/>
        <v>9.0514891521698519</v>
      </c>
    </row>
    <row r="175" spans="2:82" x14ac:dyDescent="0.35">
      <c r="B175" s="50" t="b">
        <f t="shared" si="112"/>
        <v>1</v>
      </c>
      <c r="C175" s="21">
        <f t="shared" si="113"/>
        <v>137.23333333333343</v>
      </c>
      <c r="D175" s="13">
        <f t="shared" si="114"/>
        <v>3.4634180624155135</v>
      </c>
      <c r="E175" s="143">
        <f t="shared" si="115"/>
        <v>70.412241146117793</v>
      </c>
      <c r="F175" s="52">
        <f t="shared" si="116"/>
        <v>2.7210954894657151</v>
      </c>
      <c r="G175" s="50">
        <f t="shared" si="117"/>
        <v>195.33672923368252</v>
      </c>
      <c r="H175" s="50">
        <f t="shared" si="96"/>
        <v>265.74897037980031</v>
      </c>
      <c r="I175" s="16">
        <f t="shared" si="118"/>
        <v>3.6186324093812359</v>
      </c>
      <c r="J175" s="22">
        <f t="shared" si="119"/>
        <v>1.639939078207946E-2</v>
      </c>
      <c r="K175" s="15">
        <f t="shared" si="143"/>
        <v>386.86291378296011</v>
      </c>
      <c r="L175" s="15">
        <f t="shared" si="97"/>
        <v>261.3055817514084</v>
      </c>
      <c r="M175" s="17">
        <f t="shared" si="120"/>
        <v>1.0170045683624895</v>
      </c>
      <c r="N175" s="15">
        <f t="shared" si="121"/>
        <v>265.74897037980031</v>
      </c>
      <c r="O175" s="17">
        <f t="shared" si="122"/>
        <v>1.0170045683624895</v>
      </c>
      <c r="P175" s="15">
        <f t="shared" si="123"/>
        <v>1</v>
      </c>
      <c r="Q175" s="7">
        <f t="shared" si="124"/>
        <v>5.5272183488732682E-2</v>
      </c>
      <c r="R175" s="17">
        <f t="shared" si="98"/>
        <v>1.0170045683624895</v>
      </c>
      <c r="S175" s="17">
        <f t="shared" si="125"/>
        <v>0.70534187805785564</v>
      </c>
      <c r="T175" s="162">
        <f t="shared" si="126"/>
        <v>647.53082959572498</v>
      </c>
      <c r="U175" s="162">
        <f>ABS($L175-$L176)*IF($B175,FORECAST($L175,
INDEX($Z$119:$AJ$119,MATCH($L175,$Z$105:$AJ$105,1)):INDEX($Z$119:$AJ$119,MATCH($L175,$Z$105:$AJ$105,1)+1),
INDEX($Z$105:$AJ$105,MATCH($L175,$Z$105:$AJ$105,1)):INDEX($Z$105:$AJ$105,MATCH($L175,$Z$105:$AJ$105,1)+1)),0)</f>
        <v>0</v>
      </c>
      <c r="V175" s="162">
        <f>ABS($L175-$L176)*IF($B175,FORECAST($L175,
INDEX($Z$120:$AJ$120,MATCH($L175,$Z$105:$AJ$105,1)):INDEX($Z$120:$AJ$120,MATCH($L175,$Z$105:$AJ$105,1)+1),
INDEX($Z$105:$AJ$105,MATCH($L175,$Z$105:$AJ$105,1)):INDEX($Z$105:$AJ$105,MATCH($L175,$Z$105:$AJ$105,1)+1)),0)</f>
        <v>841.66855753656171</v>
      </c>
      <c r="W175" s="162">
        <f>ABS($L175-$L176)*IF($B175,FORECAST($L175,
INDEX($Z$121:$AJ$121,MATCH($L175,$Z$105:$AJ$105,1)):INDEX($Z$121:$AJ$121,MATCH($L175,$Z$105:$AJ$105,1)+1),
INDEX($Z$105:$AJ$105,MATCH($L175,$Z$105:$AJ$105,1)):INDEX($Z$105:$AJ$105,MATCH($L175,$Z$105:$AJ$105,1)+1)),0)</f>
        <v>863.95352233838662</v>
      </c>
      <c r="X175" s="162">
        <f>ABS($L175-$L176)*IF($B175,FORECAST($L175,
INDEX($Z$122:$AJ$122,MATCH($L175,$Z$105:$AJ$105,1)):INDEX($Z$122:$AJ$122,MATCH($L175,$Z$105:$AJ$105,1)+1),
INDEX($Z$105:$AJ$105,MATCH($L175,$Z$105:$AJ$105,1)):INDEX($Z$105:$AJ$105,MATCH($L175,$Z$105:$AJ$105,1)+1)),0)</f>
        <v>762.32572618020492</v>
      </c>
      <c r="AM175" s="44">
        <f t="shared" si="127"/>
        <v>1035</v>
      </c>
      <c r="AN175" s="45">
        <f t="shared" si="139"/>
        <v>979</v>
      </c>
      <c r="AO175" s="54">
        <f t="shared" si="99"/>
        <v>0.67510087735718116</v>
      </c>
      <c r="AP175" s="54">
        <f t="shared" si="100"/>
        <v>0.67510087735718116</v>
      </c>
      <c r="AQ175" s="54">
        <f t="shared" si="128"/>
        <v>1.3502017547143623</v>
      </c>
      <c r="AR175" s="46">
        <f t="shared" si="101"/>
        <v>4.2182184472887183</v>
      </c>
      <c r="AS175" s="47">
        <f t="shared" si="129"/>
        <v>2.3729650670233893E-4</v>
      </c>
      <c r="AT175" s="47">
        <f t="shared" si="140"/>
        <v>1.2568312079959665E-6</v>
      </c>
      <c r="AU175" s="48">
        <f t="shared" si="130"/>
        <v>162.31169111419186</v>
      </c>
      <c r="AV175" s="48">
        <f t="shared" si="102"/>
        <v>1036.0631169305266</v>
      </c>
      <c r="AW175" s="140">
        <f t="shared" si="131"/>
        <v>105.4171907559155</v>
      </c>
      <c r="AX175" s="53"/>
      <c r="AZ175" s="50">
        <f t="shared" si="132"/>
        <v>265.74897037980031</v>
      </c>
      <c r="BA175" s="50">
        <f t="shared" si="133"/>
        <v>265.74897037980031</v>
      </c>
      <c r="BB175" s="50">
        <f t="shared" si="103"/>
        <v>261.3055817514084</v>
      </c>
      <c r="BD175" s="50">
        <f t="shared" si="104"/>
        <v>1035</v>
      </c>
      <c r="BE175" s="50">
        <f t="shared" si="105"/>
        <v>979</v>
      </c>
      <c r="BF175" s="53">
        <f t="shared" si="106"/>
        <v>1.3502017547143623</v>
      </c>
      <c r="BG175" s="53">
        <f t="shared" si="134"/>
        <v>2.3729650670233893E-4</v>
      </c>
      <c r="BH175" s="53">
        <f t="shared" si="135"/>
        <v>1036.0631169305266</v>
      </c>
      <c r="BI175" s="127">
        <f t="shared" si="136"/>
        <v>105.4171907559155</v>
      </c>
      <c r="BK175" s="44">
        <f t="shared" si="137"/>
        <v>1035</v>
      </c>
      <c r="BL175" s="45">
        <f t="shared" si="141"/>
        <v>979</v>
      </c>
      <c r="BM175" s="119" cm="1">
        <f t="array" ref="BM175">IF(($AG$51=0),0,
_xlfn.IFS(BK175&lt;=$BL$102,($AG$53*(1-(BK175/$BL$102))),AND(BK175&gt;$BL$102,BK175&lt;($AG$55+$BL$102)),0,BK175&gt;=($AG$55+$BL$102),($AG$53*((BK175-($AG$55+$BL$102))/$BL$102)))-$AG$54)</f>
        <v>0</v>
      </c>
      <c r="BN175" s="119" cm="1">
        <f t="array" ref="BN175">IF(($AG$51=0),0,
_xlfn.IFS(BK175&lt;=$BL$102,($BL$103*(1-(BK175/$BL$102))),AND(BK175&gt;$BL$102,BK175&lt;($AG$55+$BL$102)),0,BK175&gt;=($AG$55+$BL$102),($BL$103*((BK175-($AG$55+$BL$102))/$BL$102))))</f>
        <v>0</v>
      </c>
      <c r="BO175" s="120">
        <f t="shared" si="107"/>
        <v>0</v>
      </c>
      <c r="BP175" s="121">
        <f t="shared" si="108"/>
        <v>0</v>
      </c>
      <c r="BQ175" s="121">
        <f t="shared" si="142"/>
        <v>0</v>
      </c>
      <c r="BR175" s="48">
        <f t="shared" si="109"/>
        <v>0</v>
      </c>
      <c r="BS175" s="48">
        <f t="shared" si="110"/>
        <v>979</v>
      </c>
      <c r="BU175" s="122"/>
      <c r="BW175" s="50">
        <f t="shared" si="64"/>
        <v>1035</v>
      </c>
      <c r="BX175" s="50">
        <f t="shared" si="65"/>
        <v>979</v>
      </c>
      <c r="BY175" s="53">
        <f t="shared" si="66"/>
        <v>0</v>
      </c>
      <c r="BZ175" s="53">
        <f t="shared" si="67"/>
        <v>0</v>
      </c>
      <c r="CA175" s="53">
        <f t="shared" si="68"/>
        <v>979</v>
      </c>
      <c r="CC175" s="126">
        <f t="shared" si="138"/>
        <v>1036.0631169305266</v>
      </c>
      <c r="CD175" s="127">
        <f t="shared" si="111"/>
        <v>9.1210659327366752</v>
      </c>
    </row>
    <row r="176" spans="2:82" x14ac:dyDescent="0.35">
      <c r="B176" s="50" t="b">
        <f t="shared" si="112"/>
        <v>1</v>
      </c>
      <c r="C176" s="21">
        <f t="shared" si="113"/>
        <v>139.22222222222231</v>
      </c>
      <c r="D176" s="13">
        <f t="shared" si="114"/>
        <v>3.4798174531975929</v>
      </c>
      <c r="E176" s="143">
        <f t="shared" si="115"/>
        <v>66.122009185533358</v>
      </c>
      <c r="F176" s="52">
        <f t="shared" si="116"/>
        <v>2.7599682821723683</v>
      </c>
      <c r="G176" s="50">
        <f t="shared" si="117"/>
        <v>198.12725393702087</v>
      </c>
      <c r="H176" s="50">
        <f t="shared" si="96"/>
        <v>264.24926312255423</v>
      </c>
      <c r="I176" s="16">
        <f t="shared" si="118"/>
        <v>3.398148411661047</v>
      </c>
      <c r="J176" s="22">
        <f t="shared" si="119"/>
        <v>1.540017261600252E-2</v>
      </c>
      <c r="K176" s="15">
        <f t="shared" si="143"/>
        <v>383.24528137357885</v>
      </c>
      <c r="L176" s="15">
        <f t="shared" si="97"/>
        <v>258.86206104260646</v>
      </c>
      <c r="M176" s="17">
        <f t="shared" si="120"/>
        <v>1.0208110916611342</v>
      </c>
      <c r="N176" s="15">
        <f t="shared" si="121"/>
        <v>264.24926312255423</v>
      </c>
      <c r="O176" s="17">
        <f t="shared" si="122"/>
        <v>1.0208110916611342</v>
      </c>
      <c r="P176" s="15">
        <f t="shared" si="123"/>
        <v>1</v>
      </c>
      <c r="Q176" s="7">
        <f t="shared" si="124"/>
        <v>5.4272965322655742E-2</v>
      </c>
      <c r="R176" s="17">
        <f t="shared" si="98"/>
        <v>1.0208110916611342</v>
      </c>
      <c r="S176" s="17">
        <f t="shared" si="125"/>
        <v>0.70798188615207691</v>
      </c>
      <c r="T176" s="162">
        <f t="shared" si="126"/>
        <v>604.71067493699923</v>
      </c>
      <c r="U176" s="162">
        <f>ABS($L176-$L177)*IF($B176,FORECAST($L176,
INDEX($Z$119:$AJ$119,MATCH($L176,$Z$105:$AJ$105,1)):INDEX($Z$119:$AJ$119,MATCH($L176,$Z$105:$AJ$105,1)+1),
INDEX($Z$105:$AJ$105,MATCH($L176,$Z$105:$AJ$105,1)):INDEX($Z$105:$AJ$105,MATCH($L176,$Z$105:$AJ$105,1)+1)),0)</f>
        <v>0</v>
      </c>
      <c r="V176" s="162">
        <f>ABS($L176-$L177)*IF($B176,FORECAST($L176,
INDEX($Z$120:$AJ$120,MATCH($L176,$Z$105:$AJ$105,1)):INDEX($Z$120:$AJ$120,MATCH($L176,$Z$105:$AJ$105,1)+1),
INDEX($Z$105:$AJ$105,MATCH($L176,$Z$105:$AJ$105,1)):INDEX($Z$105:$AJ$105,MATCH($L176,$Z$105:$AJ$105,1)+1)),0)</f>
        <v>790.99931200837409</v>
      </c>
      <c r="W176" s="162">
        <f>ABS($L176-$L177)*IF($B176,FORECAST($L176,
INDEX($Z$121:$AJ$121,MATCH($L176,$Z$105:$AJ$105,1)):INDEX($Z$121:$AJ$121,MATCH($L176,$Z$105:$AJ$105,1)+1),
INDEX($Z$105:$AJ$105,MATCH($L176,$Z$105:$AJ$105,1)):INDEX($Z$105:$AJ$105,MATCH($L176,$Z$105:$AJ$105,1)+1)),0)</f>
        <v>811.68066281848837</v>
      </c>
      <c r="X176" s="162">
        <f>ABS($L176-$L177)*IF($B176,FORECAST($L176,
INDEX($Z$122:$AJ$122,MATCH($L176,$Z$105:$AJ$105,1)):INDEX($Z$122:$AJ$122,MATCH($L176,$Z$105:$AJ$105,1)+1),
INDEX($Z$105:$AJ$105,MATCH($L176,$Z$105:$AJ$105,1)):INDEX($Z$105:$AJ$105,MATCH($L176,$Z$105:$AJ$105,1)+1)),0)</f>
        <v>716.73038490651606</v>
      </c>
      <c r="AM176" s="44">
        <f t="shared" si="127"/>
        <v>1050</v>
      </c>
      <c r="AN176" s="45">
        <f t="shared" si="139"/>
        <v>979</v>
      </c>
      <c r="AO176" s="54">
        <f t="shared" si="99"/>
        <v>0.64000092160131317</v>
      </c>
      <c r="AP176" s="54">
        <f t="shared" si="100"/>
        <v>0.64000092160131317</v>
      </c>
      <c r="AQ176" s="54">
        <f t="shared" si="128"/>
        <v>1.2800018432026263</v>
      </c>
      <c r="AR176" s="46">
        <f t="shared" si="101"/>
        <v>3.9989041405912835</v>
      </c>
      <c r="AS176" s="47">
        <f t="shared" si="129"/>
        <v>2.249589477305893E-4</v>
      </c>
      <c r="AT176" s="47">
        <f t="shared" si="140"/>
        <v>1.256832271480877E-6</v>
      </c>
      <c r="AU176" s="48">
        <f t="shared" si="130"/>
        <v>153.91721671340855</v>
      </c>
      <c r="AV176" s="48">
        <f t="shared" si="102"/>
        <v>1027.668642529743</v>
      </c>
      <c r="AW176" s="140">
        <f t="shared" si="131"/>
        <v>89.673480360496313</v>
      </c>
      <c r="AX176" s="53"/>
      <c r="AZ176" s="50">
        <f t="shared" si="132"/>
        <v>264.24926312255423</v>
      </c>
      <c r="BA176" s="50">
        <f t="shared" si="133"/>
        <v>264.24926312255423</v>
      </c>
      <c r="BB176" s="50">
        <f t="shared" si="103"/>
        <v>258.86206104260646</v>
      </c>
      <c r="BD176" s="50">
        <f t="shared" si="104"/>
        <v>1050</v>
      </c>
      <c r="BE176" s="50">
        <f t="shared" si="105"/>
        <v>979</v>
      </c>
      <c r="BF176" s="53">
        <f t="shared" si="106"/>
        <v>1.2800018432026263</v>
      </c>
      <c r="BG176" s="53">
        <f t="shared" si="134"/>
        <v>2.249589477305893E-4</v>
      </c>
      <c r="BH176" s="53">
        <f t="shared" si="135"/>
        <v>1027.668642529743</v>
      </c>
      <c r="BI176" s="127">
        <f t="shared" si="136"/>
        <v>89.673480360496313</v>
      </c>
      <c r="BK176" s="44">
        <f t="shared" si="137"/>
        <v>1050</v>
      </c>
      <c r="BL176" s="45">
        <f t="shared" si="141"/>
        <v>979</v>
      </c>
      <c r="BM176" s="119" cm="1">
        <f t="array" ref="BM176">IF(($AG$51=0),0,
_xlfn.IFS(BK176&lt;=$BL$102,($AG$53*(1-(BK176/$BL$102))),AND(BK176&gt;$BL$102,BK176&lt;($AG$55+$BL$102)),0,BK176&gt;=($AG$55+$BL$102),($AG$53*((BK176-($AG$55+$BL$102))/$BL$102)))-$AG$54)</f>
        <v>0</v>
      </c>
      <c r="BN176" s="119" cm="1">
        <f t="array" ref="BN176">IF(($AG$51=0),0,
_xlfn.IFS(BK176&lt;=$BL$102,($BL$103*(1-(BK176/$BL$102))),AND(BK176&gt;$BL$102,BK176&lt;($AG$55+$BL$102)),0,BK176&gt;=($AG$55+$BL$102),($BL$103*((BK176-($AG$55+$BL$102))/$BL$102))))</f>
        <v>0</v>
      </c>
      <c r="BO176" s="120">
        <f t="shared" si="107"/>
        <v>0</v>
      </c>
      <c r="BP176" s="121">
        <f t="shared" si="108"/>
        <v>0</v>
      </c>
      <c r="BQ176" s="121">
        <f t="shared" si="142"/>
        <v>0</v>
      </c>
      <c r="BR176" s="48">
        <f t="shared" si="109"/>
        <v>0</v>
      </c>
      <c r="BS176" s="48">
        <f t="shared" si="110"/>
        <v>979</v>
      </c>
      <c r="BU176" s="122"/>
      <c r="BW176" s="50">
        <f t="shared" si="64"/>
        <v>1050</v>
      </c>
      <c r="BX176" s="50">
        <f t="shared" si="65"/>
        <v>979</v>
      </c>
      <c r="BY176" s="53">
        <f t="shared" si="66"/>
        <v>0</v>
      </c>
      <c r="BZ176" s="53">
        <f t="shared" si="67"/>
        <v>0</v>
      </c>
      <c r="CA176" s="53">
        <f t="shared" si="68"/>
        <v>979</v>
      </c>
      <c r="CC176" s="126">
        <f t="shared" si="138"/>
        <v>1027.668642529743</v>
      </c>
      <c r="CD176" s="127">
        <f t="shared" si="111"/>
        <v>9.1955710322517668</v>
      </c>
    </row>
    <row r="177" spans="2:82" x14ac:dyDescent="0.35">
      <c r="B177" s="50" t="b">
        <f t="shared" si="112"/>
        <v>1</v>
      </c>
      <c r="C177" s="21">
        <f t="shared" si="113"/>
        <v>141.21111111111119</v>
      </c>
      <c r="D177" s="13">
        <f t="shared" si="114"/>
        <v>3.4952176258135954</v>
      </c>
      <c r="E177" s="143">
        <f t="shared" si="115"/>
        <v>61.906871858936597</v>
      </c>
      <c r="F177" s="52">
        <f t="shared" si="116"/>
        <v>2.7988410748790216</v>
      </c>
      <c r="G177" s="50">
        <f t="shared" si="117"/>
        <v>200.91777864035919</v>
      </c>
      <c r="H177" s="50">
        <f t="shared" si="96"/>
        <v>262.82465049929579</v>
      </c>
      <c r="I177" s="16">
        <f t="shared" si="118"/>
        <v>3.1815236843162249</v>
      </c>
      <c r="J177" s="22">
        <f t="shared" si="119"/>
        <v>1.4418444395258316E-2</v>
      </c>
      <c r="K177" s="15">
        <f t="shared" si="143"/>
        <v>379.84813296191777</v>
      </c>
      <c r="L177" s="15">
        <f t="shared" si="97"/>
        <v>256.56746569531765</v>
      </c>
      <c r="M177" s="17">
        <f t="shared" si="120"/>
        <v>1.0243880680156414</v>
      </c>
      <c r="N177" s="15">
        <f t="shared" si="121"/>
        <v>262.82465049929579</v>
      </c>
      <c r="O177" s="17">
        <f t="shared" si="122"/>
        <v>1.0243880680156414</v>
      </c>
      <c r="P177" s="15">
        <f t="shared" si="123"/>
        <v>1</v>
      </c>
      <c r="Q177" s="7">
        <f t="shared" si="124"/>
        <v>5.329123710191154E-2</v>
      </c>
      <c r="R177" s="17">
        <f t="shared" si="98"/>
        <v>1.0243880680156414</v>
      </c>
      <c r="S177" s="17">
        <f t="shared" si="125"/>
        <v>0.71046269233342874</v>
      </c>
      <c r="T177" s="162">
        <f t="shared" si="126"/>
        <v>563.17204659362972</v>
      </c>
      <c r="U177" s="162">
        <f>ABS($L177-$L178)*IF($B177,FORECAST($L177,
INDEX($Z$119:$AJ$119,MATCH($L177,$Z$105:$AJ$105,1)):INDEX($Z$119:$AJ$119,MATCH($L177,$Z$105:$AJ$105,1)+1),
INDEX($Z$105:$AJ$105,MATCH($L177,$Z$105:$AJ$105,1)):INDEX($Z$105:$AJ$105,MATCH($L177,$Z$105:$AJ$105,1)+1)),0)</f>
        <v>0</v>
      </c>
      <c r="V177" s="162">
        <f>ABS($L177-$L178)*IF($B177,FORECAST($L177,
INDEX($Z$120:$AJ$120,MATCH($L177,$Z$105:$AJ$105,1)):INDEX($Z$120:$AJ$120,MATCH($L177,$Z$105:$AJ$105,1)+1),
INDEX($Z$105:$AJ$105,MATCH($L177,$Z$105:$AJ$105,1)):INDEX($Z$105:$AJ$105,MATCH($L177,$Z$105:$AJ$105,1)+1)),0)</f>
        <v>741.11203549949835</v>
      </c>
      <c r="W177" s="162">
        <f>ABS($L177-$L178)*IF($B177,FORECAST($L177,
INDEX($Z$121:$AJ$121,MATCH($L177,$Z$105:$AJ$105,1)):INDEX($Z$121:$AJ$121,MATCH($L177,$Z$105:$AJ$105,1)+1),
INDEX($Z$105:$AJ$105,MATCH($L177,$Z$105:$AJ$105,1)):INDEX($Z$105:$AJ$105,MATCH($L177,$Z$105:$AJ$105,1)+1)),0)</f>
        <v>760.25884722897774</v>
      </c>
      <c r="X177" s="162">
        <f>ABS($L177-$L178)*IF($B177,FORECAST($L177,
INDEX($Z$122:$AJ$122,MATCH($L177,$Z$105:$AJ$105,1)):INDEX($Z$122:$AJ$122,MATCH($L177,$Z$105:$AJ$105,1)+1),
INDEX($Z$105:$AJ$105,MATCH($L177,$Z$105:$AJ$105,1)):INDEX($Z$105:$AJ$105,MATCH($L177,$Z$105:$AJ$105,1)+1)),0)</f>
        <v>671.78840111764771</v>
      </c>
      <c r="AM177" s="44">
        <f t="shared" si="127"/>
        <v>1065</v>
      </c>
      <c r="AN177" s="45">
        <f t="shared" si="139"/>
        <v>979</v>
      </c>
      <c r="AO177" s="54">
        <f t="shared" si="99"/>
        <v>0.60310095747990999</v>
      </c>
      <c r="AP177" s="54">
        <f t="shared" si="100"/>
        <v>0.60310095747990999</v>
      </c>
      <c r="AQ177" s="54">
        <f t="shared" si="128"/>
        <v>1.20620191495982</v>
      </c>
      <c r="AR177" s="46">
        <f t="shared" si="101"/>
        <v>3.7683428799238015</v>
      </c>
      <c r="AS177" s="47">
        <f t="shared" si="129"/>
        <v>2.119886896889635E-4</v>
      </c>
      <c r="AT177" s="47">
        <f t="shared" si="140"/>
        <v>1.2568333823823275E-6</v>
      </c>
      <c r="AU177" s="48">
        <f t="shared" si="130"/>
        <v>145.09225389774369</v>
      </c>
      <c r="AV177" s="48">
        <f t="shared" si="102"/>
        <v>1018.8436797140781</v>
      </c>
      <c r="AW177" s="140">
        <f t="shared" si="131"/>
        <v>73.122395431233713</v>
      </c>
      <c r="AX177" s="53"/>
      <c r="AZ177" s="50">
        <f t="shared" si="132"/>
        <v>262.82465049929579</v>
      </c>
      <c r="BA177" s="50">
        <f t="shared" si="133"/>
        <v>262.82465049929579</v>
      </c>
      <c r="BB177" s="50">
        <f t="shared" si="103"/>
        <v>256.56746569531765</v>
      </c>
      <c r="BD177" s="50">
        <f t="shared" si="104"/>
        <v>1065</v>
      </c>
      <c r="BE177" s="50">
        <f t="shared" si="105"/>
        <v>979</v>
      </c>
      <c r="BF177" s="53">
        <f t="shared" si="106"/>
        <v>1.20620191495982</v>
      </c>
      <c r="BG177" s="53">
        <f t="shared" si="134"/>
        <v>2.119886896889635E-4</v>
      </c>
      <c r="BH177" s="53">
        <f t="shared" si="135"/>
        <v>1018.8436797140781</v>
      </c>
      <c r="BI177" s="127">
        <f t="shared" si="136"/>
        <v>73.122395431233713</v>
      </c>
      <c r="BK177" s="44">
        <f t="shared" si="137"/>
        <v>1065</v>
      </c>
      <c r="BL177" s="45">
        <f t="shared" si="141"/>
        <v>979</v>
      </c>
      <c r="BM177" s="119" cm="1">
        <f t="array" ref="BM177">IF(($AG$51=0),0,
_xlfn.IFS(BK177&lt;=$BL$102,($AG$53*(1-(BK177/$BL$102))),AND(BK177&gt;$BL$102,BK177&lt;($AG$55+$BL$102)),0,BK177&gt;=($AG$55+$BL$102),($AG$53*((BK177-($AG$55+$BL$102))/$BL$102)))-$AG$54)</f>
        <v>0</v>
      </c>
      <c r="BN177" s="119" cm="1">
        <f t="array" ref="BN177">IF(($AG$51=0),0,
_xlfn.IFS(BK177&lt;=$BL$102,($BL$103*(1-(BK177/$BL$102))),AND(BK177&gt;$BL$102,BK177&lt;($AG$55+$BL$102)),0,BK177&gt;=($AG$55+$BL$102),($BL$103*((BK177-($AG$55+$BL$102))/$BL$102))))</f>
        <v>0</v>
      </c>
      <c r="BO177" s="120">
        <f t="shared" si="107"/>
        <v>0</v>
      </c>
      <c r="BP177" s="121">
        <f t="shared" si="108"/>
        <v>0</v>
      </c>
      <c r="BQ177" s="121">
        <f t="shared" si="142"/>
        <v>0</v>
      </c>
      <c r="BR177" s="48">
        <f t="shared" si="109"/>
        <v>0</v>
      </c>
      <c r="BS177" s="48">
        <f t="shared" si="110"/>
        <v>979</v>
      </c>
      <c r="BU177" s="122"/>
      <c r="BW177" s="50">
        <f t="shared" si="64"/>
        <v>1065</v>
      </c>
      <c r="BX177" s="50">
        <f t="shared" si="65"/>
        <v>979</v>
      </c>
      <c r="BY177" s="53">
        <f t="shared" si="66"/>
        <v>0</v>
      </c>
      <c r="BZ177" s="53">
        <f t="shared" si="67"/>
        <v>0</v>
      </c>
      <c r="CA177" s="53">
        <f t="shared" si="68"/>
        <v>979</v>
      </c>
      <c r="CC177" s="126">
        <f t="shared" si="138"/>
        <v>1018.8436797140781</v>
      </c>
      <c r="CD177" s="127">
        <f t="shared" si="111"/>
        <v>9.2752207116326115</v>
      </c>
    </row>
    <row r="178" spans="2:82" x14ac:dyDescent="0.35">
      <c r="B178" s="50" t="b">
        <f t="shared" si="112"/>
        <v>1</v>
      </c>
      <c r="C178" s="21">
        <f t="shared" si="113"/>
        <v>143.20000000000007</v>
      </c>
      <c r="D178" s="13">
        <f t="shared" si="114"/>
        <v>3.5096360702088538</v>
      </c>
      <c r="E178" s="143">
        <f t="shared" si="115"/>
        <v>57.768260509455843</v>
      </c>
      <c r="F178" s="52">
        <f t="shared" si="116"/>
        <v>2.8377138675856748</v>
      </c>
      <c r="G178" s="50">
        <f t="shared" si="117"/>
        <v>203.70830334369754</v>
      </c>
      <c r="H178" s="50">
        <f t="shared" si="96"/>
        <v>261.47656385315338</v>
      </c>
      <c r="I178" s="16">
        <f t="shared" si="118"/>
        <v>2.9688317870652057</v>
      </c>
      <c r="J178" s="22">
        <f t="shared" si="119"/>
        <v>1.3454539487382419E-2</v>
      </c>
      <c r="K178" s="15">
        <f t="shared" si="143"/>
        <v>376.66760927760151</v>
      </c>
      <c r="L178" s="15">
        <f t="shared" si="97"/>
        <v>254.41918897507702</v>
      </c>
      <c r="M178" s="17">
        <f t="shared" si="120"/>
        <v>1.0277391611320941</v>
      </c>
      <c r="N178" s="15">
        <f t="shared" si="121"/>
        <v>261.47656385315338</v>
      </c>
      <c r="O178" s="17">
        <f t="shared" si="122"/>
        <v>1.0277391611320941</v>
      </c>
      <c r="P178" s="15">
        <f t="shared" si="123"/>
        <v>1</v>
      </c>
      <c r="Q178" s="7">
        <f t="shared" si="124"/>
        <v>5.2327332194035646E-2</v>
      </c>
      <c r="R178" s="17">
        <f t="shared" si="98"/>
        <v>1.0277391611320941</v>
      </c>
      <c r="S178" s="17">
        <f t="shared" si="125"/>
        <v>0.71278683755935557</v>
      </c>
      <c r="T178" s="162">
        <f t="shared" si="126"/>
        <v>522.88636046294755</v>
      </c>
      <c r="U178" s="162">
        <f>ABS($L178-$L179)*IF($B178,FORECAST($L178,
INDEX($Z$119:$AJ$119,MATCH($L178,$Z$105:$AJ$105,1)):INDEX($Z$119:$AJ$119,MATCH($L178,$Z$105:$AJ$105,1)+1),
INDEX($Z$105:$AJ$105,MATCH($L178,$Z$105:$AJ$105,1)):INDEX($Z$105:$AJ$105,MATCH($L178,$Z$105:$AJ$105,1)+1)),0)</f>
        <v>0</v>
      </c>
      <c r="V178" s="162">
        <f>ABS($L178-$L179)*IF($B178,FORECAST($L178,
INDEX($Z$120:$AJ$120,MATCH($L178,$Z$105:$AJ$105,1)):INDEX($Z$120:$AJ$120,MATCH($L178,$Z$105:$AJ$105,1)+1),
INDEX($Z$105:$AJ$105,MATCH($L178,$Z$105:$AJ$105,1)):INDEX($Z$105:$AJ$105,MATCH($L178,$Z$105:$AJ$105,1)+1)),0)</f>
        <v>692.0337970331226</v>
      </c>
      <c r="W178" s="162">
        <f>ABS($L178-$L179)*IF($B178,FORECAST($L178,
INDEX($Z$121:$AJ$121,MATCH($L178,$Z$105:$AJ$105,1)):INDEX($Z$121:$AJ$121,MATCH($L178,$Z$105:$AJ$105,1)+1),
INDEX($Z$105:$AJ$105,MATCH($L178,$Z$105:$AJ$105,1)):INDEX($Z$105:$AJ$105,MATCH($L178,$Z$105:$AJ$105,1)+1)),0)</f>
        <v>709.71170733922634</v>
      </c>
      <c r="X178" s="162">
        <f>ABS($L178-$L179)*IF($B178,FORECAST($L178,
INDEX($Z$122:$AJ$122,MATCH($L178,$Z$105:$AJ$105,1)):INDEX($Z$122:$AJ$122,MATCH($L178,$Z$105:$AJ$105,1)+1),
INDEX($Z$105:$AJ$105,MATCH($L178,$Z$105:$AJ$105,1)):INDEX($Z$105:$AJ$105,MATCH($L178,$Z$105:$AJ$105,1)+1)),0)</f>
        <v>627.52900647197316</v>
      </c>
      <c r="AM178" s="44">
        <f t="shared" si="127"/>
        <v>1080</v>
      </c>
      <c r="AN178" s="45">
        <f t="shared" si="139"/>
        <v>979</v>
      </c>
      <c r="AO178" s="54">
        <f t="shared" si="99"/>
        <v>0.56440098340681288</v>
      </c>
      <c r="AP178" s="54">
        <f t="shared" si="100"/>
        <v>0.56440098340681288</v>
      </c>
      <c r="AQ178" s="54">
        <f t="shared" si="128"/>
        <v>1.1288019668136258</v>
      </c>
      <c r="AR178" s="46">
        <f t="shared" si="101"/>
        <v>3.526534655375511</v>
      </c>
      <c r="AS178" s="47">
        <f t="shared" si="129"/>
        <v>1.9838573201993014E-4</v>
      </c>
      <c r="AT178" s="47">
        <f t="shared" si="140"/>
        <v>1.2568345491676154E-6</v>
      </c>
      <c r="AU178" s="48">
        <f t="shared" si="130"/>
        <v>135.83680229361411</v>
      </c>
      <c r="AV178" s="48">
        <f t="shared" si="102"/>
        <v>1009.5882281099485</v>
      </c>
      <c r="AW178" s="140">
        <f t="shared" si="131"/>
        <v>55.763935256673186</v>
      </c>
      <c r="AX178" s="53"/>
      <c r="AZ178" s="50">
        <f t="shared" si="132"/>
        <v>261.47656385315338</v>
      </c>
      <c r="BA178" s="50">
        <f t="shared" si="133"/>
        <v>261.47656385315338</v>
      </c>
      <c r="BB178" s="50">
        <f t="shared" si="103"/>
        <v>254.41918897507702</v>
      </c>
      <c r="BD178" s="50">
        <f t="shared" si="104"/>
        <v>1080</v>
      </c>
      <c r="BE178" s="50">
        <f t="shared" si="105"/>
        <v>979</v>
      </c>
      <c r="BF178" s="53">
        <f t="shared" si="106"/>
        <v>1.1288019668136258</v>
      </c>
      <c r="BG178" s="53">
        <f t="shared" si="134"/>
        <v>1.9838573201993014E-4</v>
      </c>
      <c r="BH178" s="53">
        <f t="shared" si="135"/>
        <v>1009.5882281099485</v>
      </c>
      <c r="BI178" s="127">
        <f t="shared" si="136"/>
        <v>55.763935256673186</v>
      </c>
      <c r="BK178" s="44">
        <f t="shared" si="137"/>
        <v>1080</v>
      </c>
      <c r="BL178" s="45">
        <f t="shared" si="141"/>
        <v>979</v>
      </c>
      <c r="BM178" s="119" cm="1">
        <f t="array" ref="BM178">IF(($AG$51=0),0,
_xlfn.IFS(BK178&lt;=$BL$102,($AG$53*(1-(BK178/$BL$102))),AND(BK178&gt;$BL$102,BK178&lt;($AG$55+$BL$102)),0,BK178&gt;=($AG$55+$BL$102),($AG$53*((BK178-($AG$55+$BL$102))/$BL$102)))-$AG$54)</f>
        <v>0</v>
      </c>
      <c r="BN178" s="119" cm="1">
        <f t="array" ref="BN178">IF(($AG$51=0),0,
_xlfn.IFS(BK178&lt;=$BL$102,($BL$103*(1-(BK178/$BL$102))),AND(BK178&gt;$BL$102,BK178&lt;($AG$55+$BL$102)),0,BK178&gt;=($AG$55+$BL$102),($BL$103*((BK178-($AG$55+$BL$102))/$BL$102))))</f>
        <v>0</v>
      </c>
      <c r="BO178" s="120">
        <f t="shared" si="107"/>
        <v>0</v>
      </c>
      <c r="BP178" s="121">
        <f t="shared" si="108"/>
        <v>0</v>
      </c>
      <c r="BQ178" s="121">
        <f t="shared" si="142"/>
        <v>0</v>
      </c>
      <c r="BR178" s="48">
        <f t="shared" si="109"/>
        <v>0</v>
      </c>
      <c r="BS178" s="48">
        <f t="shared" si="110"/>
        <v>979</v>
      </c>
      <c r="BU178" s="122"/>
      <c r="BW178" s="50">
        <f t="shared" si="64"/>
        <v>1080</v>
      </c>
      <c r="BX178" s="50">
        <f t="shared" si="65"/>
        <v>979</v>
      </c>
      <c r="BY178" s="53">
        <f t="shared" si="66"/>
        <v>0</v>
      </c>
      <c r="BZ178" s="53">
        <f t="shared" si="67"/>
        <v>0</v>
      </c>
      <c r="CA178" s="53">
        <f t="shared" si="68"/>
        <v>979</v>
      </c>
      <c r="CC178" s="126">
        <f t="shared" si="138"/>
        <v>1009.5882281099485</v>
      </c>
      <c r="CD178" s="127">
        <f t="shared" si="111"/>
        <v>9.3602517708544966</v>
      </c>
    </row>
    <row r="179" spans="2:82" x14ac:dyDescent="0.35">
      <c r="B179" s="50" t="b">
        <f t="shared" si="112"/>
        <v>1</v>
      </c>
      <c r="C179" s="21">
        <f t="shared" si="113"/>
        <v>145.18888888888895</v>
      </c>
      <c r="D179" s="13">
        <f t="shared" si="114"/>
        <v>3.5230906096962364</v>
      </c>
      <c r="E179" s="143">
        <f t="shared" si="115"/>
        <v>53.70731265154771</v>
      </c>
      <c r="F179" s="52">
        <f t="shared" si="116"/>
        <v>2.876586660292328</v>
      </c>
      <c r="G179" s="50">
        <f t="shared" si="117"/>
        <v>206.49882804703586</v>
      </c>
      <c r="H179" s="50">
        <f t="shared" si="96"/>
        <v>260.20614069858357</v>
      </c>
      <c r="I179" s="16">
        <f t="shared" si="118"/>
        <v>2.760131179156152</v>
      </c>
      <c r="J179" s="22">
        <f t="shared" si="119"/>
        <v>1.250872282562778E-2</v>
      </c>
      <c r="K179" s="15">
        <f t="shared" si="143"/>
        <v>373.69977749053629</v>
      </c>
      <c r="L179" s="15">
        <f t="shared" si="97"/>
        <v>252.41457446169289</v>
      </c>
      <c r="M179" s="17">
        <f t="shared" si="120"/>
        <v>1.030868131341097</v>
      </c>
      <c r="N179" s="15">
        <f t="shared" si="121"/>
        <v>260.20614069858357</v>
      </c>
      <c r="O179" s="17">
        <f t="shared" si="122"/>
        <v>1.030868131341097</v>
      </c>
      <c r="P179" s="15">
        <f t="shared" si="123"/>
        <v>1</v>
      </c>
      <c r="Q179" s="7">
        <f t="shared" si="124"/>
        <v>5.1381515532281007E-2</v>
      </c>
      <c r="R179" s="17">
        <f t="shared" si="98"/>
        <v>1.030868131341097</v>
      </c>
      <c r="S179" s="17">
        <f t="shared" si="125"/>
        <v>0.7149569298010835</v>
      </c>
      <c r="T179" s="162">
        <f t="shared" si="126"/>
        <v>483.82206842882772</v>
      </c>
      <c r="U179" s="162">
        <f>ABS($L179-$L180)*IF($B179,FORECAST($L179,
INDEX($Z$119:$AJ$119,MATCH($L179,$Z$105:$AJ$105,1)):INDEX($Z$119:$AJ$119,MATCH($L179,$Z$105:$AJ$105,1)+1),
INDEX($Z$105:$AJ$105,MATCH($L179,$Z$105:$AJ$105,1)):INDEX($Z$105:$AJ$105,MATCH($L179,$Z$105:$AJ$105,1)+1)),0)</f>
        <v>0</v>
      </c>
      <c r="V179" s="162">
        <f>ABS($L179-$L180)*IF($B179,FORECAST($L179,
INDEX($Z$120:$AJ$120,MATCH($L179,$Z$105:$AJ$105,1)):INDEX($Z$120:$AJ$120,MATCH($L179,$Z$105:$AJ$105,1)+1),
INDEX($Z$105:$AJ$105,MATCH($L179,$Z$105:$AJ$105,1)):INDEX($Z$105:$AJ$105,MATCH($L179,$Z$105:$AJ$105,1)+1)),0)</f>
        <v>643.78777157547393</v>
      </c>
      <c r="W179" s="162">
        <f>ABS($L179-$L180)*IF($B179,FORECAST($L179,
INDEX($Z$121:$AJ$121,MATCH($L179,$Z$105:$AJ$105,1)):INDEX($Z$121:$AJ$121,MATCH($L179,$Z$105:$AJ$105,1)+1),
INDEX($Z$105:$AJ$105,MATCH($L179,$Z$105:$AJ$105,1)):INDEX($Z$105:$AJ$105,MATCH($L179,$Z$105:$AJ$105,1)+1)),0)</f>
        <v>660.05903666846893</v>
      </c>
      <c r="X179" s="162">
        <f>ABS($L179-$L180)*IF($B179,FORECAST($L179,
INDEX($Z$122:$AJ$122,MATCH($L179,$Z$105:$AJ$105,1)):INDEX($Z$122:$AJ$122,MATCH($L179,$Z$105:$AJ$105,1)+1),
INDEX($Z$105:$AJ$105,MATCH($L179,$Z$105:$AJ$105,1)):INDEX($Z$105:$AJ$105,MATCH($L179,$Z$105:$AJ$105,1)+1)),0)</f>
        <v>583.97772530833606</v>
      </c>
      <c r="AM179" s="44">
        <f t="shared" si="127"/>
        <v>1095</v>
      </c>
      <c r="AN179" s="45">
        <f t="shared" si="139"/>
        <v>979</v>
      </c>
      <c r="AO179" s="54">
        <f t="shared" si="99"/>
        <v>0.52390099770855159</v>
      </c>
      <c r="AP179" s="54">
        <f t="shared" si="100"/>
        <v>0.52390099770855159</v>
      </c>
      <c r="AQ179" s="54">
        <f t="shared" si="128"/>
        <v>1.0478019954171032</v>
      </c>
      <c r="AR179" s="46">
        <f t="shared" si="101"/>
        <v>3.2734794564901026</v>
      </c>
      <c r="AS179" s="47">
        <f t="shared" si="129"/>
        <v>1.8415007413526797E-4</v>
      </c>
      <c r="AT179" s="47">
        <f t="shared" si="140"/>
        <v>1.2568357684496743E-6</v>
      </c>
      <c r="AU179" s="48">
        <f t="shared" si="130"/>
        <v>126.15086149848948</v>
      </c>
      <c r="AV179" s="48">
        <f t="shared" si="102"/>
        <v>999.90228731482409</v>
      </c>
      <c r="AW179" s="140">
        <f t="shared" si="131"/>
        <v>37.598099086197436</v>
      </c>
      <c r="AX179" s="53"/>
      <c r="AZ179" s="50">
        <f t="shared" si="132"/>
        <v>260.20614069858357</v>
      </c>
      <c r="BA179" s="50">
        <f t="shared" si="133"/>
        <v>260.20614069858357</v>
      </c>
      <c r="BB179" s="50">
        <f t="shared" si="103"/>
        <v>252.41457446169289</v>
      </c>
      <c r="BD179" s="50">
        <f t="shared" si="104"/>
        <v>1095</v>
      </c>
      <c r="BE179" s="50">
        <f t="shared" si="105"/>
        <v>979</v>
      </c>
      <c r="BF179" s="53">
        <f t="shared" si="106"/>
        <v>1.0478019954171032</v>
      </c>
      <c r="BG179" s="53">
        <f t="shared" si="134"/>
        <v>1.8415007413526797E-4</v>
      </c>
      <c r="BH179" s="53">
        <f t="shared" si="135"/>
        <v>999.90228731482409</v>
      </c>
      <c r="BI179" s="127">
        <f t="shared" si="136"/>
        <v>37.598099086197436</v>
      </c>
      <c r="BK179" s="44">
        <f t="shared" si="137"/>
        <v>1095</v>
      </c>
      <c r="BL179" s="45">
        <f t="shared" si="141"/>
        <v>979</v>
      </c>
      <c r="BM179" s="119" cm="1">
        <f t="array" ref="BM179">IF(($AG$51=0),0,
_xlfn.IFS(BK179&lt;=$BL$102,($AG$53*(1-(BK179/$BL$102))),AND(BK179&gt;$BL$102,BK179&lt;($AG$55+$BL$102)),0,BK179&gt;=($AG$55+$BL$102),($AG$53*((BK179-($AG$55+$BL$102))/$BL$102)))-$AG$54)</f>
        <v>0</v>
      </c>
      <c r="BN179" s="119" cm="1">
        <f t="array" ref="BN179">IF(($AG$51=0),0,
_xlfn.IFS(BK179&lt;=$BL$102,($BL$103*(1-(BK179/$BL$102))),AND(BK179&gt;$BL$102,BK179&lt;($AG$55+$BL$102)),0,BK179&gt;=($AG$55+$BL$102),($BL$103*((BK179-($AG$55+$BL$102))/$BL$102))))</f>
        <v>0</v>
      </c>
      <c r="BO179" s="120">
        <f t="shared" si="107"/>
        <v>0</v>
      </c>
      <c r="BP179" s="121">
        <f t="shared" si="108"/>
        <v>0</v>
      </c>
      <c r="BQ179" s="121">
        <f t="shared" si="142"/>
        <v>0</v>
      </c>
      <c r="BR179" s="48">
        <f t="shared" si="109"/>
        <v>0</v>
      </c>
      <c r="BS179" s="48">
        <f t="shared" si="110"/>
        <v>979</v>
      </c>
      <c r="BU179" s="122"/>
      <c r="BW179" s="50">
        <f t="shared" si="64"/>
        <v>1095</v>
      </c>
      <c r="BX179" s="50">
        <f t="shared" si="65"/>
        <v>979</v>
      </c>
      <c r="BY179" s="53">
        <f t="shared" si="66"/>
        <v>0</v>
      </c>
      <c r="BZ179" s="53">
        <f t="shared" si="67"/>
        <v>0</v>
      </c>
      <c r="CA179" s="53">
        <f t="shared" si="68"/>
        <v>979</v>
      </c>
      <c r="CC179" s="126">
        <f t="shared" si="138"/>
        <v>999.90228731482409</v>
      </c>
      <c r="CD179" s="127">
        <f t="shared" si="111"/>
        <v>9.4509234751101445</v>
      </c>
    </row>
    <row r="180" spans="2:82" x14ac:dyDescent="0.35">
      <c r="B180" s="50" t="b">
        <f t="shared" si="112"/>
        <v>1</v>
      </c>
      <c r="C180" s="21">
        <f t="shared" si="113"/>
        <v>147.17777777777783</v>
      </c>
      <c r="D180" s="13">
        <f t="shared" si="114"/>
        <v>3.5355993325218642</v>
      </c>
      <c r="E180" s="143">
        <f t="shared" si="115"/>
        <v>49.724888474269306</v>
      </c>
      <c r="F180" s="52">
        <f t="shared" si="116"/>
        <v>2.9154594529989812</v>
      </c>
      <c r="G180" s="50">
        <f t="shared" si="117"/>
        <v>209.28935275037421</v>
      </c>
      <c r="H180" s="50">
        <f t="shared" si="96"/>
        <v>259.01424122464351</v>
      </c>
      <c r="I180" s="16">
        <f t="shared" si="118"/>
        <v>2.555466067504645</v>
      </c>
      <c r="J180" s="22">
        <f t="shared" si="119"/>
        <v>1.1581194752665842E-2</v>
      </c>
      <c r="K180" s="15">
        <f t="shared" si="143"/>
        <v>370.94064631138014</v>
      </c>
      <c r="L180" s="15">
        <f t="shared" si="97"/>
        <v>250.55092624882144</v>
      </c>
      <c r="M180" s="17">
        <f t="shared" si="120"/>
        <v>1.0337788213459533</v>
      </c>
      <c r="N180" s="15">
        <f t="shared" si="121"/>
        <v>259.01424122464351</v>
      </c>
      <c r="O180" s="17">
        <f t="shared" si="122"/>
        <v>1.0337788213459533</v>
      </c>
      <c r="P180" s="15">
        <f t="shared" si="123"/>
        <v>1</v>
      </c>
      <c r="Q180" s="7">
        <f t="shared" si="124"/>
        <v>5.0453987459319068E-2</v>
      </c>
      <c r="R180" s="17">
        <f t="shared" si="98"/>
        <v>1.0337788213459533</v>
      </c>
      <c r="S180" s="17">
        <f t="shared" si="125"/>
        <v>0.71697563415929022</v>
      </c>
      <c r="T180" s="162">
        <f t="shared" si="126"/>
        <v>445.94516410901707</v>
      </c>
      <c r="U180" s="162">
        <f>ABS($L180-$L181)*IF($B180,FORECAST($L180,
INDEX($Z$119:$AJ$119,MATCH($L180,$Z$105:$AJ$105,1)):INDEX($Z$119:$AJ$119,MATCH($L180,$Z$105:$AJ$105,1)+1),
INDEX($Z$105:$AJ$105,MATCH($L180,$Z$105:$AJ$105,1)):INDEX($Z$105:$AJ$105,MATCH($L180,$Z$105:$AJ$105,1)+1)),0)</f>
        <v>0</v>
      </c>
      <c r="V180" s="162">
        <f>ABS($L180-$L181)*IF($B180,FORECAST($L180,
INDEX($Z$120:$AJ$120,MATCH($L180,$Z$105:$AJ$105,1)):INDEX($Z$120:$AJ$120,MATCH($L180,$Z$105:$AJ$105,1)+1),
INDEX($Z$105:$AJ$105,MATCH($L180,$Z$105:$AJ$105,1)):INDEX($Z$105:$AJ$105,MATCH($L180,$Z$105:$AJ$105,1)+1)),0)</f>
        <v>596.39342134854621</v>
      </c>
      <c r="W180" s="162">
        <f>ABS($L180-$L181)*IF($B180,FORECAST($L180,
INDEX($Z$121:$AJ$121,MATCH($L180,$Z$105:$AJ$105,1)):INDEX($Z$121:$AJ$121,MATCH($L180,$Z$105:$AJ$105,1)+1),
INDEX($Z$105:$AJ$105,MATCH($L180,$Z$105:$AJ$105,1)):INDEX($Z$105:$AJ$105,MATCH($L180,$Z$105:$AJ$105,1)+1)),0)</f>
        <v>611.3169832809383</v>
      </c>
      <c r="X180" s="162">
        <f>ABS($L180-$L181)*IF($B180,FORECAST($L180,
INDEX($Z$122:$AJ$122,MATCH($L180,$Z$105:$AJ$105,1)):INDEX($Z$122:$AJ$122,MATCH($L180,$Z$105:$AJ$105,1)+1),
INDEX($Z$105:$AJ$105,MATCH($L180,$Z$105:$AJ$105,1)):INDEX($Z$105:$AJ$105,MATCH($L180,$Z$105:$AJ$105,1)+1)),0)</f>
        <v>541.15653128347162</v>
      </c>
      <c r="AM180" s="44">
        <f t="shared" si="127"/>
        <v>1110</v>
      </c>
      <c r="AN180" s="45">
        <f t="shared" si="139"/>
        <v>979</v>
      </c>
      <c r="AO180" s="54">
        <f t="shared" si="99"/>
        <v>0.48160099863889627</v>
      </c>
      <c r="AP180" s="54">
        <f t="shared" si="100"/>
        <v>0.48160099863889627</v>
      </c>
      <c r="AQ180" s="54">
        <f t="shared" si="128"/>
        <v>0.96320199727779254</v>
      </c>
      <c r="AR180" s="46">
        <f t="shared" si="101"/>
        <v>3.0091772723566463</v>
      </c>
      <c r="AS180" s="47">
        <f t="shared" si="129"/>
        <v>1.6928171542118103E-4</v>
      </c>
      <c r="AT180" s="47">
        <f t="shared" si="140"/>
        <v>1.2568370436155924E-6</v>
      </c>
      <c r="AU180" s="48">
        <f t="shared" si="130"/>
        <v>116.03443109704763</v>
      </c>
      <c r="AV180" s="48">
        <f t="shared" si="102"/>
        <v>989.78585691338219</v>
      </c>
      <c r="AW180" s="140">
        <f t="shared" si="131"/>
        <v>18.624886136553776</v>
      </c>
      <c r="AX180" s="53"/>
      <c r="AZ180" s="50">
        <f t="shared" si="132"/>
        <v>259.01424122464351</v>
      </c>
      <c r="BA180" s="50">
        <f t="shared" si="133"/>
        <v>259.01424122464351</v>
      </c>
      <c r="BB180" s="50">
        <f t="shared" si="103"/>
        <v>250.55092624882144</v>
      </c>
      <c r="BD180" s="50">
        <f t="shared" si="104"/>
        <v>1110</v>
      </c>
      <c r="BE180" s="50">
        <f t="shared" si="105"/>
        <v>979</v>
      </c>
      <c r="BF180" s="53">
        <f t="shared" si="106"/>
        <v>0.96320199727779254</v>
      </c>
      <c r="BG180" s="53">
        <f t="shared" si="134"/>
        <v>1.6928171542118103E-4</v>
      </c>
      <c r="BH180" s="53">
        <f t="shared" si="135"/>
        <v>989.78585691338219</v>
      </c>
      <c r="BI180" s="127">
        <f t="shared" si="136"/>
        <v>18.624886136553776</v>
      </c>
      <c r="BK180" s="44">
        <f t="shared" si="137"/>
        <v>1110</v>
      </c>
      <c r="BL180" s="45">
        <f t="shared" si="141"/>
        <v>979</v>
      </c>
      <c r="BM180" s="119" cm="1">
        <f t="array" ref="BM180">IF(($AG$51=0),0,
_xlfn.IFS(BK180&lt;=$BL$102,($AG$53*(1-(BK180/$BL$102))),AND(BK180&gt;$BL$102,BK180&lt;($AG$55+$BL$102)),0,BK180&gt;=($AG$55+$BL$102),($AG$53*((BK180-($AG$55+$BL$102))/$BL$102)))-$AG$54)</f>
        <v>0</v>
      </c>
      <c r="BN180" s="119" cm="1">
        <f t="array" ref="BN180">IF(($AG$51=0),0,
_xlfn.IFS(BK180&lt;=$BL$102,($BL$103*(1-(BK180/$BL$102))),AND(BK180&gt;$BL$102,BK180&lt;($AG$55+$BL$102)),0,BK180&gt;=($AG$55+$BL$102),($BL$103*((BK180-($AG$55+$BL$102))/$BL$102))))</f>
        <v>0</v>
      </c>
      <c r="BO180" s="120">
        <f t="shared" si="107"/>
        <v>0</v>
      </c>
      <c r="BP180" s="121">
        <f t="shared" si="108"/>
        <v>0</v>
      </c>
      <c r="BQ180" s="121">
        <f t="shared" si="142"/>
        <v>0</v>
      </c>
      <c r="BR180" s="48">
        <f t="shared" si="109"/>
        <v>0</v>
      </c>
      <c r="BS180" s="48">
        <f t="shared" si="110"/>
        <v>979</v>
      </c>
      <c r="BU180" s="122"/>
      <c r="BW180" s="50">
        <f t="shared" si="64"/>
        <v>1110</v>
      </c>
      <c r="BX180" s="50">
        <f t="shared" si="65"/>
        <v>979</v>
      </c>
      <c r="BY180" s="53">
        <f t="shared" si="66"/>
        <v>0</v>
      </c>
      <c r="BZ180" s="53">
        <f t="shared" si="67"/>
        <v>0</v>
      </c>
      <c r="CA180" s="53">
        <f t="shared" si="68"/>
        <v>979</v>
      </c>
      <c r="CC180" s="126">
        <f t="shared" si="138"/>
        <v>989.78585691338219</v>
      </c>
      <c r="CD180" s="127">
        <f t="shared" si="111"/>
        <v>9.5475197326718177</v>
      </c>
    </row>
    <row r="181" spans="2:82" x14ac:dyDescent="0.35">
      <c r="B181" s="50" t="b">
        <f t="shared" si="112"/>
        <v>1</v>
      </c>
      <c r="C181" s="21">
        <f t="shared" si="113"/>
        <v>149.16666666666671</v>
      </c>
      <c r="D181" s="13">
        <f t="shared" si="114"/>
        <v>3.5471805272745303</v>
      </c>
      <c r="E181" s="143">
        <f t="shared" si="115"/>
        <v>45.821587395856511</v>
      </c>
      <c r="F181" s="52">
        <f t="shared" si="116"/>
        <v>2.9543322457056345</v>
      </c>
      <c r="G181" s="50">
        <f t="shared" si="117"/>
        <v>212.07987745371253</v>
      </c>
      <c r="H181" s="50">
        <f t="shared" si="96"/>
        <v>257.90146484956904</v>
      </c>
      <c r="I181" s="16">
        <f t="shared" si="118"/>
        <v>2.3548672574681029</v>
      </c>
      <c r="J181" s="22">
        <f t="shared" si="119"/>
        <v>1.067209487623714E-2</v>
      </c>
      <c r="K181" s="15">
        <f t="shared" si="143"/>
        <v>368.38618024387546</v>
      </c>
      <c r="L181" s="15">
        <f t="shared" si="97"/>
        <v>248.825518570669</v>
      </c>
      <c r="M181" s="17">
        <f t="shared" si="120"/>
        <v>1.0364751426261867</v>
      </c>
      <c r="N181" s="15">
        <f t="shared" si="121"/>
        <v>257.90146484956904</v>
      </c>
      <c r="O181" s="17">
        <f t="shared" si="122"/>
        <v>1.0364751426261867</v>
      </c>
      <c r="P181" s="15">
        <f t="shared" si="123"/>
        <v>1</v>
      </c>
      <c r="Q181" s="7">
        <f t="shared" si="124"/>
        <v>4.9544887582890364E-2</v>
      </c>
      <c r="R181" s="17">
        <f t="shared" si="98"/>
        <v>1.0364751426261867</v>
      </c>
      <c r="S181" s="17">
        <f t="shared" si="125"/>
        <v>0.71884566343429079</v>
      </c>
      <c r="T181" s="162">
        <f t="shared" si="126"/>
        <v>409.21964905631188</v>
      </c>
      <c r="U181" s="162">
        <f>ABS($L181-$L182)*IF($B181,FORECAST($L181,
INDEX($Z$119:$AJ$119,MATCH($L181,$Z$105:$AJ$105,1)):INDEX($Z$119:$AJ$119,MATCH($L181,$Z$105:$AJ$105,1)+1),
INDEX($Z$105:$AJ$105,MATCH($L181,$Z$105:$AJ$105,1)):INDEX($Z$105:$AJ$105,MATCH($L181,$Z$105:$AJ$105,1)+1)),0)</f>
        <v>0</v>
      </c>
      <c r="V181" s="162">
        <f>ABS($L181-$L182)*IF($B181,FORECAST($L181,
INDEX($Z$120:$AJ$120,MATCH($L181,$Z$105:$AJ$105,1)):INDEX($Z$120:$AJ$120,MATCH($L181,$Z$105:$AJ$105,1)+1),
INDEX($Z$105:$AJ$105,MATCH($L181,$Z$105:$AJ$105,1)):INDEX($Z$105:$AJ$105,MATCH($L181,$Z$105:$AJ$105,1)+1)),0)</f>
        <v>549.86668234624312</v>
      </c>
      <c r="W181" s="162">
        <f>ABS($L181-$L182)*IF($B181,FORECAST($L181,
INDEX($Z$121:$AJ$121,MATCH($L181,$Z$105:$AJ$105,1)):INDEX($Z$121:$AJ$121,MATCH($L181,$Z$105:$AJ$105,1)+1),
INDEX($Z$105:$AJ$105,MATCH($L181,$Z$105:$AJ$105,1)):INDEX($Z$105:$AJ$105,MATCH($L181,$Z$105:$AJ$105,1)+1)),0)</f>
        <v>563.49824600694922</v>
      </c>
      <c r="X181" s="162">
        <f>ABS($L181-$L182)*IF($B181,FORECAST($L181,
INDEX($Z$122:$AJ$122,MATCH($L181,$Z$105:$AJ$105,1)):INDEX($Z$122:$AJ$122,MATCH($L181,$Z$105:$AJ$105,1)+1),
INDEX($Z$105:$AJ$105,MATCH($L181,$Z$105:$AJ$105,1)):INDEX($Z$105:$AJ$105,MATCH($L181,$Z$105:$AJ$105,1)+1)),0)</f>
        <v>499.08401089594895</v>
      </c>
      <c r="AM181" s="44">
        <f t="shared" si="127"/>
        <v>1125</v>
      </c>
      <c r="AN181" s="45">
        <f t="shared" si="139"/>
        <v>979</v>
      </c>
      <c r="AO181" s="54">
        <f t="shared" si="99"/>
        <v>0.43750098437885754</v>
      </c>
      <c r="AP181" s="54">
        <f t="shared" si="100"/>
        <v>0.43750098437885754</v>
      </c>
      <c r="AQ181" s="54">
        <f t="shared" si="128"/>
        <v>0.87500196875771508</v>
      </c>
      <c r="AR181" s="46">
        <f t="shared" si="101"/>
        <v>2.7336280916095888</v>
      </c>
      <c r="AS181" s="47">
        <f t="shared" si="129"/>
        <v>1.5378065523829839E-4</v>
      </c>
      <c r="AT181" s="47">
        <f t="shared" si="140"/>
        <v>1.2568383831324111E-6</v>
      </c>
      <c r="AU181" s="48">
        <f t="shared" si="130"/>
        <v>105.48751066002151</v>
      </c>
      <c r="AV181" s="48">
        <f t="shared" si="102"/>
        <v>979.23893647635612</v>
      </c>
      <c r="AW181" s="140">
        <f t="shared" si="131"/>
        <v>-1.1557044081461108</v>
      </c>
      <c r="AX181" s="53"/>
      <c r="AZ181" s="50">
        <f t="shared" si="132"/>
        <v>257.90146484956904</v>
      </c>
      <c r="BA181" s="50">
        <f t="shared" si="133"/>
        <v>257.90146484956904</v>
      </c>
      <c r="BB181" s="50">
        <f t="shared" si="103"/>
        <v>248.825518570669</v>
      </c>
      <c r="BD181" s="50">
        <f t="shared" si="104"/>
        <v>1125</v>
      </c>
      <c r="BE181" s="50">
        <f t="shared" si="105"/>
        <v>979</v>
      </c>
      <c r="BF181" s="53">
        <f t="shared" si="106"/>
        <v>0.87500196875771508</v>
      </c>
      <c r="BG181" s="53">
        <f t="shared" si="134"/>
        <v>1.5378065523829839E-4</v>
      </c>
      <c r="BH181" s="53">
        <f t="shared" si="135"/>
        <v>979.23893647635612</v>
      </c>
      <c r="BI181" s="127">
        <f t="shared" si="136"/>
        <v>-1.1557044081461108</v>
      </c>
      <c r="BK181" s="44">
        <f t="shared" si="137"/>
        <v>1125</v>
      </c>
      <c r="BL181" s="45">
        <f t="shared" si="141"/>
        <v>979</v>
      </c>
      <c r="BM181" s="119" cm="1">
        <f t="array" ref="BM181">IF(($AG$51=0),0,
_xlfn.IFS(BK181&lt;=$BL$102,($AG$53*(1-(BK181/$BL$102))),AND(BK181&gt;$BL$102,BK181&lt;($AG$55+$BL$102)),0,BK181&gt;=($AG$55+$BL$102),($AG$53*((BK181-($AG$55+$BL$102))/$BL$102)))-$AG$54)</f>
        <v>0</v>
      </c>
      <c r="BN181" s="119" cm="1">
        <f t="array" ref="BN181">IF(($AG$51=0),0,
_xlfn.IFS(BK181&lt;=$BL$102,($BL$103*(1-(BK181/$BL$102))),AND(BK181&gt;$BL$102,BK181&lt;($AG$55+$BL$102)),0,BK181&gt;=($AG$55+$BL$102),($BL$103*((BK181-($AG$55+$BL$102))/$BL$102))))</f>
        <v>0</v>
      </c>
      <c r="BO181" s="120">
        <f t="shared" si="107"/>
        <v>0</v>
      </c>
      <c r="BP181" s="121">
        <f t="shared" si="108"/>
        <v>0</v>
      </c>
      <c r="BQ181" s="121">
        <f t="shared" si="142"/>
        <v>0</v>
      </c>
      <c r="BR181" s="48">
        <f t="shared" si="109"/>
        <v>0</v>
      </c>
      <c r="BS181" s="48">
        <f t="shared" si="110"/>
        <v>979</v>
      </c>
      <c r="BU181" s="122"/>
      <c r="BW181" s="50">
        <f t="shared" si="64"/>
        <v>1125</v>
      </c>
      <c r="BX181" s="50">
        <f t="shared" si="65"/>
        <v>979</v>
      </c>
      <c r="BY181" s="53">
        <f t="shared" si="66"/>
        <v>0</v>
      </c>
      <c r="BZ181" s="53">
        <f t="shared" si="67"/>
        <v>0</v>
      </c>
      <c r="CA181" s="53">
        <f t="shared" si="68"/>
        <v>979</v>
      </c>
      <c r="CC181" s="126">
        <f t="shared" si="138"/>
        <v>979.23893647635612</v>
      </c>
      <c r="CD181" s="127">
        <f t="shared" si="111"/>
        <v>9.6503515618000257</v>
      </c>
    </row>
    <row r="182" spans="2:82" x14ac:dyDescent="0.35">
      <c r="B182" s="50" t="b">
        <f t="shared" si="112"/>
        <v>1</v>
      </c>
      <c r="C182" s="21">
        <f t="shared" si="113"/>
        <v>151.15555555555559</v>
      </c>
      <c r="D182" s="13">
        <f t="shared" si="114"/>
        <v>3.5578526221507674</v>
      </c>
      <c r="E182" s="143">
        <f t="shared" si="115"/>
        <v>41.997764548166884</v>
      </c>
      <c r="F182" s="52">
        <f t="shared" si="116"/>
        <v>2.9932050384122877</v>
      </c>
      <c r="G182" s="50">
        <f t="shared" si="117"/>
        <v>214.87040215705085</v>
      </c>
      <c r="H182" s="50">
        <f t="shared" si="96"/>
        <v>256.86816670521773</v>
      </c>
      <c r="I182" s="16">
        <f t="shared" si="118"/>
        <v>2.1583530000157958</v>
      </c>
      <c r="J182" s="22">
        <f t="shared" si="119"/>
        <v>9.781505908466959E-3</v>
      </c>
      <c r="K182" s="15">
        <f t="shared" si="143"/>
        <v>366.03231298640731</v>
      </c>
      <c r="L182" s="15">
        <f t="shared" si="97"/>
        <v>247.23560485404076</v>
      </c>
      <c r="M182" s="17">
        <f t="shared" si="120"/>
        <v>1.0389610624928545</v>
      </c>
      <c r="N182" s="15">
        <f t="shared" si="121"/>
        <v>256.86816670521773</v>
      </c>
      <c r="O182" s="17">
        <f t="shared" si="122"/>
        <v>1.0389610624928545</v>
      </c>
      <c r="P182" s="15">
        <f t="shared" si="123"/>
        <v>1</v>
      </c>
      <c r="Q182" s="7">
        <f t="shared" si="124"/>
        <v>4.8654298615120183E-2</v>
      </c>
      <c r="R182" s="17">
        <f t="shared" si="98"/>
        <v>1.0389610624928545</v>
      </c>
      <c r="S182" s="17">
        <f t="shared" si="125"/>
        <v>0.72056976914827009</v>
      </c>
      <c r="T182" s="162">
        <f t="shared" si="126"/>
        <v>373.60795952708861</v>
      </c>
      <c r="U182" s="162">
        <f>ABS($L182-$L183)*IF($B182,FORECAST($L182,
INDEX($Z$119:$AJ$119,MATCH($L182,$Z$105:$AJ$105,1)):INDEX($Z$119:$AJ$119,MATCH($L182,$Z$105:$AJ$105,1)+1),
INDEX($Z$105:$AJ$105,MATCH($L182,$Z$105:$AJ$105,1)):INDEX($Z$105:$AJ$105,MATCH($L182,$Z$105:$AJ$105,1)+1)),0)</f>
        <v>0</v>
      </c>
      <c r="V182" s="162">
        <f>ABS($L182-$L183)*IF($B182,FORECAST($L182,
INDEX($Z$120:$AJ$120,MATCH($L182,$Z$105:$AJ$105,1)):INDEX($Z$120:$AJ$120,MATCH($L182,$Z$105:$AJ$105,1)+1),
INDEX($Z$105:$AJ$105,MATCH($L182,$Z$105:$AJ$105,1)):INDEX($Z$105:$AJ$105,MATCH($L182,$Z$105:$AJ$105,1)+1)),0)</f>
        <v>504.22015418676074</v>
      </c>
      <c r="W182" s="162">
        <f>ABS($L182-$L183)*IF($B182,FORECAST($L182,
INDEX($Z$121:$AJ$121,MATCH($L182,$Z$105:$AJ$105,1)):INDEX($Z$121:$AJ$121,MATCH($L182,$Z$105:$AJ$105,1)+1),
INDEX($Z$105:$AJ$105,MATCH($L182,$Z$105:$AJ$105,1)):INDEX($Z$105:$AJ$105,MATCH($L182,$Z$105:$AJ$105,1)+1)),0)</f>
        <v>516.61227234643434</v>
      </c>
      <c r="X182" s="162">
        <f>ABS($L182-$L183)*IF($B182,FORECAST($L182,
INDEX($Z$122:$AJ$122,MATCH($L182,$Z$105:$AJ$105,1)):INDEX($Z$122:$AJ$122,MATCH($L182,$Z$105:$AJ$105,1)+1),
INDEX($Z$105:$AJ$105,MATCH($L182,$Z$105:$AJ$105,1)):INDEX($Z$105:$AJ$105,MATCH($L182,$Z$105:$AJ$105,1)+1)),0)</f>
        <v>457.77553200901383</v>
      </c>
      <c r="AM182" s="44">
        <f t="shared" si="127"/>
        <v>1140</v>
      </c>
      <c r="AN182" s="45">
        <f t="shared" si="139"/>
        <v>979</v>
      </c>
      <c r="AO182" s="54">
        <f t="shared" si="99"/>
        <v>0.39160095299303066</v>
      </c>
      <c r="AP182" s="54">
        <f t="shared" si="100"/>
        <v>0.39160095299303066</v>
      </c>
      <c r="AQ182" s="54">
        <f t="shared" si="128"/>
        <v>0.78320190598606132</v>
      </c>
      <c r="AR182" s="46">
        <f t="shared" si="101"/>
        <v>2.4468319021559823</v>
      </c>
      <c r="AS182" s="47">
        <f t="shared" si="129"/>
        <v>1.376468929063295E-4</v>
      </c>
      <c r="AT182" s="47">
        <f t="shared" si="140"/>
        <v>1.2568397582116693E-6</v>
      </c>
      <c r="AU182" s="48">
        <f t="shared" si="130"/>
        <v>94.510099704953802</v>
      </c>
      <c r="AV182" s="48">
        <f t="shared" si="102"/>
        <v>968.26152552128826</v>
      </c>
      <c r="AW182" s="140">
        <f t="shared" si="131"/>
        <v>-21.743673416007304</v>
      </c>
      <c r="AX182" s="53"/>
      <c r="AZ182" s="50">
        <f t="shared" si="132"/>
        <v>256.86816670521773</v>
      </c>
      <c r="BA182" s="50">
        <f t="shared" si="133"/>
        <v>256.86816670521773</v>
      </c>
      <c r="BB182" s="50">
        <f t="shared" si="103"/>
        <v>247.23560485404076</v>
      </c>
      <c r="BD182" s="50">
        <f t="shared" si="104"/>
        <v>1140</v>
      </c>
      <c r="BE182" s="50">
        <f t="shared" si="105"/>
        <v>979</v>
      </c>
      <c r="BF182" s="53">
        <f t="shared" si="106"/>
        <v>0.78320190598606132</v>
      </c>
      <c r="BG182" s="53">
        <f t="shared" si="134"/>
        <v>1.376468929063295E-4</v>
      </c>
      <c r="BH182" s="53">
        <f t="shared" si="135"/>
        <v>968.26152552128826</v>
      </c>
      <c r="BI182" s="127">
        <f t="shared" si="136"/>
        <v>-21.743673416007304</v>
      </c>
      <c r="BK182" s="44">
        <f t="shared" si="137"/>
        <v>1140</v>
      </c>
      <c r="BL182" s="45">
        <f t="shared" si="141"/>
        <v>979</v>
      </c>
      <c r="BM182" s="119" cm="1">
        <f t="array" ref="BM182">IF(($AG$51=0),0,
_xlfn.IFS(BK182&lt;=$BL$102,($AG$53*(1-(BK182/$BL$102))),AND(BK182&gt;$BL$102,BK182&lt;($AG$55+$BL$102)),0,BK182&gt;=($AG$55+$BL$102),($AG$53*((BK182-($AG$55+$BL$102))/$BL$102)))-$AG$54)</f>
        <v>0</v>
      </c>
      <c r="BN182" s="119" cm="1">
        <f t="array" ref="BN182">IF(($AG$51=0),0,
_xlfn.IFS(BK182&lt;=$BL$102,($BL$103*(1-(BK182/$BL$102))),AND(BK182&gt;$BL$102,BK182&lt;($AG$55+$BL$102)),0,BK182&gt;=($AG$55+$BL$102),($BL$103*((BK182-($AG$55+$BL$102))/$BL$102))))</f>
        <v>0</v>
      </c>
      <c r="BO182" s="120">
        <f t="shared" si="107"/>
        <v>0</v>
      </c>
      <c r="BP182" s="121">
        <f t="shared" si="108"/>
        <v>0</v>
      </c>
      <c r="BQ182" s="121">
        <f t="shared" si="142"/>
        <v>0</v>
      </c>
      <c r="BR182" s="48">
        <f t="shared" si="109"/>
        <v>0</v>
      </c>
      <c r="BS182" s="48">
        <f t="shared" si="110"/>
        <v>979</v>
      </c>
      <c r="BU182" s="122"/>
      <c r="BW182" s="50">
        <f t="shared" ref="BW182:BW206" si="144">BK182/$G$72</f>
        <v>1140</v>
      </c>
      <c r="BX182" s="50">
        <f t="shared" ref="BX182:BX206" si="145">BL182/$G$71</f>
        <v>979</v>
      </c>
      <c r="BY182" s="53">
        <f t="shared" ref="BY182:BY206" si="146">BM182/$G$72</f>
        <v>0</v>
      </c>
      <c r="BZ182" s="53">
        <f t="shared" ref="BZ182:BZ206" si="147">BP182/$G$72</f>
        <v>0</v>
      </c>
      <c r="CA182" s="53">
        <f t="shared" ref="CA182:CA206" si="148">BS182/$G$71</f>
        <v>979</v>
      </c>
      <c r="CC182" s="126">
        <f t="shared" si="138"/>
        <v>968.26152552128826</v>
      </c>
      <c r="CD182" s="127">
        <f t="shared" si="111"/>
        <v>9.7597598901932532</v>
      </c>
    </row>
    <row r="183" spans="2:82" x14ac:dyDescent="0.35">
      <c r="B183" s="50" t="b">
        <f t="shared" si="112"/>
        <v>1</v>
      </c>
      <c r="C183" s="21">
        <f t="shared" si="113"/>
        <v>153.14444444444447</v>
      </c>
      <c r="D183" s="13">
        <f t="shared" si="114"/>
        <v>3.5676341280592343</v>
      </c>
      <c r="E183" s="143">
        <f t="shared" si="115"/>
        <v>38.253547083186135</v>
      </c>
      <c r="F183" s="52">
        <f t="shared" si="116"/>
        <v>3.0320778311189409</v>
      </c>
      <c r="G183" s="50">
        <f t="shared" si="117"/>
        <v>217.6609268603892</v>
      </c>
      <c r="H183" s="50">
        <f t="shared" si="96"/>
        <v>255.91447394357533</v>
      </c>
      <c r="I183" s="16">
        <f t="shared" si="118"/>
        <v>1.9659298297543331</v>
      </c>
      <c r="J183" s="22">
        <f t="shared" si="119"/>
        <v>8.9094574637386559E-3</v>
      </c>
      <c r="K183" s="15">
        <f t="shared" si="143"/>
        <v>363.8749599863915</v>
      </c>
      <c r="L183" s="15">
        <f t="shared" si="97"/>
        <v>245.77842619817056</v>
      </c>
      <c r="M183" s="17">
        <f t="shared" si="120"/>
        <v>1.0412405917890941</v>
      </c>
      <c r="N183" s="15">
        <f t="shared" si="121"/>
        <v>255.91447394357533</v>
      </c>
      <c r="O183" s="17">
        <f t="shared" si="122"/>
        <v>1.0412405917890941</v>
      </c>
      <c r="P183" s="15">
        <f t="shared" si="123"/>
        <v>1</v>
      </c>
      <c r="Q183" s="7">
        <f t="shared" si="124"/>
        <v>4.7782250170391879E-2</v>
      </c>
      <c r="R183" s="17">
        <f t="shared" si="98"/>
        <v>1.0412405917890941</v>
      </c>
      <c r="S183" s="17">
        <f t="shared" si="125"/>
        <v>0.72215073301501698</v>
      </c>
      <c r="T183" s="162">
        <f t="shared" si="126"/>
        <v>339.07135442636627</v>
      </c>
      <c r="U183" s="162">
        <f>ABS($L183-$L184)*IF($B183,FORECAST($L183,
INDEX($Z$119:$AJ$119,MATCH($L183,$Z$105:$AJ$105,1)):INDEX($Z$119:$AJ$119,MATCH($L183,$Z$105:$AJ$105,1)+1),
INDEX($Z$105:$AJ$105,MATCH($L183,$Z$105:$AJ$105,1)):INDEX($Z$105:$AJ$105,MATCH($L183,$Z$105:$AJ$105,1)+1)),0)</f>
        <v>0</v>
      </c>
      <c r="V183" s="162">
        <f>ABS($L183-$L184)*IF($B183,FORECAST($L183,
INDEX($Z$120:$AJ$120,MATCH($L183,$Z$105:$AJ$105,1)):INDEX($Z$120:$AJ$120,MATCH($L183,$Z$105:$AJ$105,1)+1),
INDEX($Z$105:$AJ$105,MATCH($L183,$Z$105:$AJ$105,1)):INDEX($Z$105:$AJ$105,MATCH($L183,$Z$105:$AJ$105,1)+1)),0)</f>
        <v>459.46329160221194</v>
      </c>
      <c r="W183" s="162">
        <f>ABS($L183-$L184)*IF($B183,FORECAST($L183,
INDEX($Z$121:$AJ$121,MATCH($L183,$Z$105:$AJ$105,1)):INDEX($Z$121:$AJ$121,MATCH($L183,$Z$105:$AJ$105,1)+1),
INDEX($Z$105:$AJ$105,MATCH($L183,$Z$105:$AJ$105,1)):INDEX($Z$105:$AJ$105,MATCH($L183,$Z$105:$AJ$105,1)+1)),0)</f>
        <v>470.66545648208921</v>
      </c>
      <c r="X183" s="162">
        <f>ABS($L183-$L184)*IF($B183,FORECAST($L183,
INDEX($Z$122:$AJ$122,MATCH($L183,$Z$105:$AJ$105,1)):INDEX($Z$122:$AJ$122,MATCH($L183,$Z$105:$AJ$105,1)+1),
INDEX($Z$105:$AJ$105,MATCH($L183,$Z$105:$AJ$105,1)):INDEX($Z$105:$AJ$105,MATCH($L183,$Z$105:$AJ$105,1)+1)),0)</f>
        <v>417.24341563926129</v>
      </c>
      <c r="AM183" s="44">
        <f t="shared" si="127"/>
        <v>1155</v>
      </c>
      <c r="AN183" s="45">
        <f t="shared" si="139"/>
        <v>979</v>
      </c>
      <c r="AO183" s="54">
        <f t="shared" si="99"/>
        <v>0.343900902531459</v>
      </c>
      <c r="AP183" s="54">
        <f t="shared" si="100"/>
        <v>0.343900902531459</v>
      </c>
      <c r="AQ183" s="54">
        <f t="shared" si="128"/>
        <v>0.68780180506291799</v>
      </c>
      <c r="AR183" s="46">
        <f t="shared" si="101"/>
        <v>2.1487886918119541</v>
      </c>
      <c r="AS183" s="47">
        <f t="shared" si="129"/>
        <v>1.2088042773986879E-4</v>
      </c>
      <c r="AT183" s="47">
        <f t="shared" si="140"/>
        <v>1.2568412010288383E-6</v>
      </c>
      <c r="AU183" s="48">
        <f t="shared" si="130"/>
        <v>83.102197787386743</v>
      </c>
      <c r="AV183" s="48">
        <f t="shared" si="102"/>
        <v>956.8536236037213</v>
      </c>
      <c r="AW183" s="140">
        <f t="shared" si="131"/>
        <v>-43.139021761662072</v>
      </c>
      <c r="AX183" s="53"/>
      <c r="AZ183" s="50">
        <f t="shared" si="132"/>
        <v>255.91447394357533</v>
      </c>
      <c r="BA183" s="50">
        <f t="shared" si="133"/>
        <v>255.91447394357533</v>
      </c>
      <c r="BB183" s="50">
        <f t="shared" si="103"/>
        <v>245.77842619817056</v>
      </c>
      <c r="BD183" s="50">
        <f t="shared" si="104"/>
        <v>1155</v>
      </c>
      <c r="BE183" s="50">
        <f t="shared" si="105"/>
        <v>979</v>
      </c>
      <c r="BF183" s="53">
        <f t="shared" si="106"/>
        <v>0.68780180506291799</v>
      </c>
      <c r="BG183" s="53">
        <f t="shared" si="134"/>
        <v>1.2088042773986879E-4</v>
      </c>
      <c r="BH183" s="53">
        <f t="shared" si="135"/>
        <v>956.8536236037213</v>
      </c>
      <c r="BI183" s="127">
        <f t="shared" si="136"/>
        <v>-43.139021761662072</v>
      </c>
      <c r="BK183" s="44">
        <f t="shared" si="137"/>
        <v>1155</v>
      </c>
      <c r="BL183" s="45">
        <f t="shared" si="141"/>
        <v>979</v>
      </c>
      <c r="BM183" s="119" cm="1">
        <f t="array" ref="BM183">IF(($AG$51=0),0,
_xlfn.IFS(BK183&lt;=$BL$102,($AG$53*(1-(BK183/$BL$102))),AND(BK183&gt;$BL$102,BK183&lt;($AG$55+$BL$102)),0,BK183&gt;=($AG$55+$BL$102),($AG$53*((BK183-($AG$55+$BL$102))/$BL$102)))-$AG$54)</f>
        <v>0</v>
      </c>
      <c r="BN183" s="119" cm="1">
        <f t="array" ref="BN183">IF(($AG$51=0),0,
_xlfn.IFS(BK183&lt;=$BL$102,($BL$103*(1-(BK183/$BL$102))),AND(BK183&gt;$BL$102,BK183&lt;($AG$55+$BL$102)),0,BK183&gt;=($AG$55+$BL$102),($BL$103*((BK183-($AG$55+$BL$102))/$BL$102))))</f>
        <v>0</v>
      </c>
      <c r="BO183" s="120">
        <f t="shared" si="107"/>
        <v>0</v>
      </c>
      <c r="BP183" s="121">
        <f t="shared" si="108"/>
        <v>0</v>
      </c>
      <c r="BQ183" s="121">
        <f t="shared" si="142"/>
        <v>0</v>
      </c>
      <c r="BR183" s="48">
        <f t="shared" si="109"/>
        <v>0</v>
      </c>
      <c r="BS183" s="48">
        <f t="shared" si="110"/>
        <v>979</v>
      </c>
      <c r="BU183" s="122"/>
      <c r="BW183" s="50">
        <f t="shared" si="144"/>
        <v>1155</v>
      </c>
      <c r="BX183" s="50">
        <f t="shared" si="145"/>
        <v>979</v>
      </c>
      <c r="BY183" s="53">
        <f t="shared" si="146"/>
        <v>0</v>
      </c>
      <c r="BZ183" s="53">
        <f t="shared" si="147"/>
        <v>0</v>
      </c>
      <c r="CA183" s="53">
        <f t="shared" si="148"/>
        <v>979</v>
      </c>
      <c r="CC183" s="126">
        <f t="shared" si="138"/>
        <v>956.8536236037213</v>
      </c>
      <c r="CD183" s="127">
        <f t="shared" si="111"/>
        <v>9.8761187363321259</v>
      </c>
    </row>
    <row r="184" spans="2:82" x14ac:dyDescent="0.35">
      <c r="B184" s="50" t="b">
        <f t="shared" si="112"/>
        <v>1</v>
      </c>
      <c r="C184" s="21">
        <f t="shared" si="113"/>
        <v>155.13333333333335</v>
      </c>
      <c r="D184" s="13">
        <f t="shared" si="114"/>
        <v>3.5765435855229728</v>
      </c>
      <c r="E184" s="143">
        <f t="shared" si="115"/>
        <v>34.588850206995744</v>
      </c>
      <c r="F184" s="52">
        <f t="shared" si="116"/>
        <v>3.0709506238255941</v>
      </c>
      <c r="G184" s="50">
        <f t="shared" si="117"/>
        <v>220.45145156372752</v>
      </c>
      <c r="H184" s="50">
        <f t="shared" si="96"/>
        <v>255.04030177072326</v>
      </c>
      <c r="I184" s="16">
        <f t="shared" si="118"/>
        <v>1.7775933889468118</v>
      </c>
      <c r="J184" s="22">
        <f t="shared" si="119"/>
        <v>8.0559297930912124E-3</v>
      </c>
      <c r="K184" s="15">
        <f t="shared" si="143"/>
        <v>361.91003015663716</v>
      </c>
      <c r="L184" s="15">
        <f t="shared" si="97"/>
        <v>244.45121928850872</v>
      </c>
      <c r="M184" s="17">
        <f t="shared" si="120"/>
        <v>1.043317773227046</v>
      </c>
      <c r="N184" s="15">
        <f t="shared" si="121"/>
        <v>255.04030177072326</v>
      </c>
      <c r="O184" s="17">
        <f t="shared" si="122"/>
        <v>1.043317773227046</v>
      </c>
      <c r="P184" s="15">
        <f t="shared" si="123"/>
        <v>1</v>
      </c>
      <c r="Q184" s="7">
        <f t="shared" si="124"/>
        <v>4.6928722499744439E-2</v>
      </c>
      <c r="R184" s="17">
        <f t="shared" si="98"/>
        <v>1.043317773227046</v>
      </c>
      <c r="S184" s="17">
        <f t="shared" si="125"/>
        <v>0.72359135885101578</v>
      </c>
      <c r="T184" s="162">
        <f t="shared" si="126"/>
        <v>305.57026545119504</v>
      </c>
      <c r="U184" s="162">
        <f>ABS($L184-$L185)*IF($B184,FORECAST($L184,
INDEX($Z$119:$AJ$119,MATCH($L184,$Z$105:$AJ$105,1)):INDEX($Z$119:$AJ$119,MATCH($L184,$Z$105:$AJ$105,1)+1),
INDEX($Z$105:$AJ$105,MATCH($L184,$Z$105:$AJ$105,1)):INDEX($Z$105:$AJ$105,MATCH($L184,$Z$105:$AJ$105,1)+1)),0)</f>
        <v>0</v>
      </c>
      <c r="V184" s="162">
        <f>ABS($L184-$L185)*IF($B184,FORECAST($L184,
INDEX($Z$120:$AJ$120,MATCH($L184,$Z$105:$AJ$105,1)):INDEX($Z$120:$AJ$120,MATCH($L184,$Z$105:$AJ$105,1)+1),
INDEX($Z$105:$AJ$105,MATCH($L184,$Z$105:$AJ$105,1)):INDEX($Z$105:$AJ$105,MATCH($L184,$Z$105:$AJ$105,1)+1)),0)</f>
        <v>415.60259603394383</v>
      </c>
      <c r="W184" s="162">
        <f>ABS($L184-$L185)*IF($B184,FORECAST($L184,
INDEX($Z$121:$AJ$121,MATCH($L184,$Z$105:$AJ$105,1)):INDEX($Z$121:$AJ$121,MATCH($L184,$Z$105:$AJ$105,1)+1),
INDEX($Z$105:$AJ$105,MATCH($L184,$Z$105:$AJ$105,1)):INDEX($Z$105:$AJ$105,MATCH($L184,$Z$105:$AJ$105,1)+1)),0)</f>
        <v>425.66133599714829</v>
      </c>
      <c r="X184" s="162">
        <f>ABS($L184-$L185)*IF($B184,FORECAST($L184,
INDEX($Z$122:$AJ$122,MATCH($L184,$Z$105:$AJ$105,1)):INDEX($Z$122:$AJ$122,MATCH($L184,$Z$105:$AJ$105,1)+1),
INDEX($Z$105:$AJ$105,MATCH($L184,$Z$105:$AJ$105,1)):INDEX($Z$105:$AJ$105,MATCH($L184,$Z$105:$AJ$105,1)+1)),0)</f>
        <v>377.49710943429619</v>
      </c>
      <c r="AM184" s="44">
        <f t="shared" si="127"/>
        <v>1170</v>
      </c>
      <c r="AN184" s="45">
        <f t="shared" si="139"/>
        <v>979</v>
      </c>
      <c r="AO184" s="54">
        <f t="shared" si="99"/>
        <v>0.29440083091321867</v>
      </c>
      <c r="AP184" s="54">
        <f t="shared" si="100"/>
        <v>0.29440083091321867</v>
      </c>
      <c r="AQ184" s="54">
        <f t="shared" si="128"/>
        <v>0.58880166182643734</v>
      </c>
      <c r="AR184" s="46">
        <f t="shared" si="101"/>
        <v>1.8394984475753118</v>
      </c>
      <c r="AS184" s="47">
        <f t="shared" si="129"/>
        <v>1.0348125900747598E-4</v>
      </c>
      <c r="AT184" s="47">
        <f t="shared" si="140"/>
        <v>1.2568426912625391E-6</v>
      </c>
      <c r="AU184" s="48">
        <f t="shared" si="130"/>
        <v>71.263804395821694</v>
      </c>
      <c r="AV184" s="48">
        <f t="shared" si="102"/>
        <v>945.01523021215633</v>
      </c>
      <c r="AW184" s="140">
        <f t="shared" si="131"/>
        <v>-65.34175037848658</v>
      </c>
      <c r="AX184" s="53"/>
      <c r="AZ184" s="50">
        <f t="shared" si="132"/>
        <v>255.04030177072326</v>
      </c>
      <c r="BA184" s="50">
        <f t="shared" si="133"/>
        <v>255.04030177072326</v>
      </c>
      <c r="BB184" s="50">
        <f t="shared" si="103"/>
        <v>244.45121928850872</v>
      </c>
      <c r="BD184" s="50">
        <f t="shared" si="104"/>
        <v>1170</v>
      </c>
      <c r="BE184" s="50">
        <f t="shared" si="105"/>
        <v>979</v>
      </c>
      <c r="BF184" s="53">
        <f t="shared" si="106"/>
        <v>0.58880166182643734</v>
      </c>
      <c r="BG184" s="53">
        <f t="shared" si="134"/>
        <v>1.0348125900747598E-4</v>
      </c>
      <c r="BH184" s="53">
        <f t="shared" si="135"/>
        <v>945.01523021215633</v>
      </c>
      <c r="BI184" s="127">
        <f t="shared" si="136"/>
        <v>-65.34175037848658</v>
      </c>
      <c r="BK184" s="44">
        <f t="shared" si="137"/>
        <v>1170</v>
      </c>
      <c r="BL184" s="45">
        <f t="shared" si="141"/>
        <v>979</v>
      </c>
      <c r="BM184" s="119" cm="1">
        <f t="array" ref="BM184">IF(($AG$51=0),0,
_xlfn.IFS(BK184&lt;=$BL$102,($AG$53*(1-(BK184/$BL$102))),AND(BK184&gt;$BL$102,BK184&lt;($AG$55+$BL$102)),0,BK184&gt;=($AG$55+$BL$102),($AG$53*((BK184-($AG$55+$BL$102))/$BL$102)))-$AG$54)</f>
        <v>0</v>
      </c>
      <c r="BN184" s="119" cm="1">
        <f t="array" ref="BN184">IF(($AG$51=0),0,
_xlfn.IFS(BK184&lt;=$BL$102,($BL$103*(1-(BK184/$BL$102))),AND(BK184&gt;$BL$102,BK184&lt;($AG$55+$BL$102)),0,BK184&gt;=($AG$55+$BL$102),($BL$103*((BK184-($AG$55+$BL$102))/$BL$102))))</f>
        <v>0</v>
      </c>
      <c r="BO184" s="120">
        <f t="shared" si="107"/>
        <v>0</v>
      </c>
      <c r="BP184" s="121">
        <f t="shared" si="108"/>
        <v>0</v>
      </c>
      <c r="BQ184" s="121">
        <f t="shared" si="142"/>
        <v>0</v>
      </c>
      <c r="BR184" s="48">
        <f t="shared" si="109"/>
        <v>0</v>
      </c>
      <c r="BS184" s="48">
        <f t="shared" si="110"/>
        <v>979</v>
      </c>
      <c r="BU184" s="122"/>
      <c r="BW184" s="50">
        <f t="shared" si="144"/>
        <v>1170</v>
      </c>
      <c r="BX184" s="50">
        <f t="shared" si="145"/>
        <v>979</v>
      </c>
      <c r="BY184" s="53">
        <f t="shared" si="146"/>
        <v>0</v>
      </c>
      <c r="BZ184" s="53">
        <f t="shared" si="147"/>
        <v>0</v>
      </c>
      <c r="CA184" s="53">
        <f t="shared" si="148"/>
        <v>979</v>
      </c>
      <c r="CC184" s="126">
        <f t="shared" si="138"/>
        <v>945.01523021215633</v>
      </c>
      <c r="CD184" s="127">
        <f t="shared" si="111"/>
        <v>9.999838836331211</v>
      </c>
    </row>
    <row r="185" spans="2:82" x14ac:dyDescent="0.35">
      <c r="B185" s="50" t="b">
        <f t="shared" si="112"/>
        <v>1</v>
      </c>
      <c r="C185" s="21">
        <f t="shared" si="113"/>
        <v>157.12222222222223</v>
      </c>
      <c r="D185" s="13">
        <f t="shared" si="114"/>
        <v>3.5845995153160639</v>
      </c>
      <c r="E185" s="143">
        <f t="shared" si="115"/>
        <v>31.003392859234424</v>
      </c>
      <c r="F185" s="52">
        <f t="shared" si="116"/>
        <v>3.1098234165322474</v>
      </c>
      <c r="G185" s="50">
        <f t="shared" si="117"/>
        <v>223.24197626706587</v>
      </c>
      <c r="H185" s="50">
        <f t="shared" si="96"/>
        <v>254.24536912630029</v>
      </c>
      <c r="I185" s="16">
        <f t="shared" si="118"/>
        <v>1.5933292333131497</v>
      </c>
      <c r="J185" s="22">
        <f t="shared" si="119"/>
        <v>7.2208574360503796E-3</v>
      </c>
      <c r="K185" s="15">
        <f t="shared" si="143"/>
        <v>360.13343676769034</v>
      </c>
      <c r="L185" s="15">
        <f t="shared" si="97"/>
        <v>243.25122375392797</v>
      </c>
      <c r="M185" s="17">
        <f t="shared" si="120"/>
        <v>1.0451966703505424</v>
      </c>
      <c r="N185" s="15">
        <f t="shared" si="121"/>
        <v>254.24536912630029</v>
      </c>
      <c r="O185" s="17">
        <f t="shared" si="122"/>
        <v>1.0451966703505424</v>
      </c>
      <c r="P185" s="15">
        <f t="shared" si="123"/>
        <v>1</v>
      </c>
      <c r="Q185" s="7">
        <f t="shared" si="124"/>
        <v>4.6093650142703606E-2</v>
      </c>
      <c r="R185" s="17">
        <f t="shared" si="98"/>
        <v>1.0451966703505424</v>
      </c>
      <c r="S185" s="17">
        <f t="shared" si="125"/>
        <v>0.72489446492053755</v>
      </c>
      <c r="T185" s="162">
        <f t="shared" si="126"/>
        <v>273.06461078941896</v>
      </c>
      <c r="U185" s="162">
        <f>ABS($L185-$L186)*IF($B185,FORECAST($L185,
INDEX($Z$119:$AJ$119,MATCH($L185,$Z$105:$AJ$105,1)):INDEX($Z$119:$AJ$119,MATCH($L185,$Z$105:$AJ$105,1)+1),
INDEX($Z$105:$AJ$105,MATCH($L185,$Z$105:$AJ$105,1)):INDEX($Z$105:$AJ$105,MATCH($L185,$Z$105:$AJ$105,1)+1)),0)</f>
        <v>0</v>
      </c>
      <c r="V185" s="162">
        <f>ABS($L185-$L186)*IF($B185,FORECAST($L185,
INDEX($Z$120:$AJ$120,MATCH($L185,$Z$105:$AJ$105,1)):INDEX($Z$120:$AJ$120,MATCH($L185,$Z$105:$AJ$105,1)+1),
INDEX($Z$105:$AJ$105,MATCH($L185,$Z$105:$AJ$105,1)):INDEX($Z$105:$AJ$105,MATCH($L185,$Z$105:$AJ$105,1)+1)),0)</f>
        <v>372.64180596657786</v>
      </c>
      <c r="W185" s="162">
        <f>ABS($L185-$L186)*IF($B185,FORECAST($L185,
INDEX($Z$121:$AJ$121,MATCH($L185,$Z$105:$AJ$105,1)):INDEX($Z$121:$AJ$121,MATCH($L185,$Z$105:$AJ$105,1)+1),
INDEX($Z$105:$AJ$105,MATCH($L185,$Z$105:$AJ$105,1)):INDEX($Z$105:$AJ$105,MATCH($L185,$Z$105:$AJ$105,1)+1)),0)</f>
        <v>381.60078605603962</v>
      </c>
      <c r="X185" s="162">
        <f>ABS($L185-$L186)*IF($B185,FORECAST($L185,
INDEX($Z$122:$AJ$122,MATCH($L185,$Z$105:$AJ$105,1)):INDEX($Z$122:$AJ$122,MATCH($L185,$Z$105:$AJ$105,1)+1),
INDEX($Z$105:$AJ$105,MATCH($L185,$Z$105:$AJ$105,1)):INDEX($Z$105:$AJ$105,MATCH($L185,$Z$105:$AJ$105,1)+1)),0)</f>
        <v>338.54336141809029</v>
      </c>
      <c r="AM185" s="44">
        <f t="shared" si="127"/>
        <v>1185</v>
      </c>
      <c r="AN185" s="45">
        <f t="shared" si="139"/>
        <v>979</v>
      </c>
      <c r="AO185" s="54">
        <f t="shared" si="99"/>
        <v>0.24310073601373006</v>
      </c>
      <c r="AP185" s="54">
        <f t="shared" si="100"/>
        <v>0.24310073601373006</v>
      </c>
      <c r="AQ185" s="54">
        <f t="shared" si="128"/>
        <v>0.48620147202746011</v>
      </c>
      <c r="AR185" s="46">
        <f t="shared" si="101"/>
        <v>1.5189611561710898</v>
      </c>
      <c r="AS185" s="47">
        <f t="shared" si="129"/>
        <v>8.5449385962365896E-5</v>
      </c>
      <c r="AT185" s="47">
        <f t="shared" si="140"/>
        <v>1.2568442424603096E-6</v>
      </c>
      <c r="AU185" s="48">
        <f t="shared" si="130"/>
        <v>58.99491903136375</v>
      </c>
      <c r="AV185" s="48">
        <f t="shared" si="102"/>
        <v>932.7463448476982</v>
      </c>
      <c r="AW185" s="140">
        <f t="shared" si="131"/>
        <v>-88.35186021943835</v>
      </c>
      <c r="AX185" s="53"/>
      <c r="AZ185" s="50">
        <f t="shared" si="132"/>
        <v>254.24536912630029</v>
      </c>
      <c r="BA185" s="50">
        <f t="shared" si="133"/>
        <v>254.24536912630029</v>
      </c>
      <c r="BB185" s="50">
        <f t="shared" si="103"/>
        <v>243.25122375392797</v>
      </c>
      <c r="BD185" s="50">
        <f t="shared" si="104"/>
        <v>1185</v>
      </c>
      <c r="BE185" s="50">
        <f t="shared" si="105"/>
        <v>979</v>
      </c>
      <c r="BF185" s="53">
        <f t="shared" si="106"/>
        <v>0.48620147202746011</v>
      </c>
      <c r="BG185" s="53">
        <f t="shared" si="134"/>
        <v>8.5449385962365896E-5</v>
      </c>
      <c r="BH185" s="53">
        <f t="shared" si="135"/>
        <v>932.7463448476982</v>
      </c>
      <c r="BI185" s="127">
        <f t="shared" si="136"/>
        <v>-88.35186021943835</v>
      </c>
      <c r="BK185" s="44">
        <f t="shared" si="137"/>
        <v>1185</v>
      </c>
      <c r="BL185" s="45">
        <f t="shared" si="141"/>
        <v>979</v>
      </c>
      <c r="BM185" s="119" cm="1">
        <f t="array" ref="BM185">IF(($AG$51=0),0,
_xlfn.IFS(BK185&lt;=$BL$102,($AG$53*(1-(BK185/$BL$102))),AND(BK185&gt;$BL$102,BK185&lt;($AG$55+$BL$102)),0,BK185&gt;=($AG$55+$BL$102),($AG$53*((BK185-($AG$55+$BL$102))/$BL$102)))-$AG$54)</f>
        <v>0</v>
      </c>
      <c r="BN185" s="119" cm="1">
        <f t="array" ref="BN185">IF(($AG$51=0),0,
_xlfn.IFS(BK185&lt;=$BL$102,($BL$103*(1-(BK185/$BL$102))),AND(BK185&gt;$BL$102,BK185&lt;($AG$55+$BL$102)),0,BK185&gt;=($AG$55+$BL$102),($BL$103*((BK185-($AG$55+$BL$102))/$BL$102))))</f>
        <v>0</v>
      </c>
      <c r="BO185" s="120">
        <f t="shared" si="107"/>
        <v>0</v>
      </c>
      <c r="BP185" s="121">
        <f t="shared" si="108"/>
        <v>0</v>
      </c>
      <c r="BQ185" s="121">
        <f t="shared" si="142"/>
        <v>0</v>
      </c>
      <c r="BR185" s="48">
        <f t="shared" si="109"/>
        <v>0</v>
      </c>
      <c r="BS185" s="48">
        <f t="shared" si="110"/>
        <v>979</v>
      </c>
      <c r="BU185" s="122"/>
      <c r="BW185" s="50">
        <f t="shared" si="144"/>
        <v>1185</v>
      </c>
      <c r="BX185" s="50">
        <f t="shared" si="145"/>
        <v>979</v>
      </c>
      <c r="BY185" s="53">
        <f t="shared" si="146"/>
        <v>0</v>
      </c>
      <c r="BZ185" s="53">
        <f t="shared" si="147"/>
        <v>0</v>
      </c>
      <c r="CA185" s="53">
        <f t="shared" si="148"/>
        <v>979</v>
      </c>
      <c r="CC185" s="126">
        <f t="shared" si="138"/>
        <v>932.7463448476982</v>
      </c>
      <c r="CD185" s="127">
        <f t="shared" si="111"/>
        <v>10.13137178419394</v>
      </c>
    </row>
    <row r="186" spans="2:82" x14ac:dyDescent="0.35">
      <c r="B186" s="50" t="b">
        <f t="shared" si="112"/>
        <v>1</v>
      </c>
      <c r="C186" s="21">
        <f t="shared" si="113"/>
        <v>159.11111111111111</v>
      </c>
      <c r="D186" s="13">
        <f t="shared" si="114"/>
        <v>3.5918203727521143</v>
      </c>
      <c r="E186" s="143">
        <f t="shared" si="115"/>
        <v>27.496712968078015</v>
      </c>
      <c r="F186" s="52">
        <f t="shared" si="116"/>
        <v>3.1486962092389006</v>
      </c>
      <c r="G186" s="50">
        <f t="shared" si="117"/>
        <v>226.03250097040419</v>
      </c>
      <c r="H186" s="50">
        <f t="shared" si="96"/>
        <v>253.5292139384822</v>
      </c>
      <c r="I186" s="16">
        <f t="shared" si="118"/>
        <v>1.4131136160154223</v>
      </c>
      <c r="J186" s="22">
        <f t="shared" si="119"/>
        <v>6.4041327735957941E-3</v>
      </c>
      <c r="K186" s="15">
        <f t="shared" si="143"/>
        <v>358.54110753437715</v>
      </c>
      <c r="L186" s="15">
        <f t="shared" si="97"/>
        <v>242.17568897965361</v>
      </c>
      <c r="M186" s="17">
        <f t="shared" si="120"/>
        <v>1.0468813571117059</v>
      </c>
      <c r="N186" s="15">
        <f t="shared" si="121"/>
        <v>253.5292139384822</v>
      </c>
      <c r="O186" s="17">
        <f t="shared" si="122"/>
        <v>1.0468813571117059</v>
      </c>
      <c r="P186" s="15">
        <f t="shared" si="123"/>
        <v>1</v>
      </c>
      <c r="Q186" s="7">
        <f t="shared" si="124"/>
        <v>4.5276925480249017E-2</v>
      </c>
      <c r="R186" s="17">
        <f t="shared" si="98"/>
        <v>1.0468813571117059</v>
      </c>
      <c r="S186" s="17">
        <f t="shared" si="125"/>
        <v>0.72606287670650582</v>
      </c>
      <c r="T186" s="162">
        <f t="shared" si="126"/>
        <v>241.51407399542151</v>
      </c>
      <c r="U186" s="162">
        <f>ABS($L186-$L187)*IF($B186,FORECAST($L186,
INDEX($Z$119:$AJ$119,MATCH($L186,$Z$105:$AJ$105,1)):INDEX($Z$119:$AJ$119,MATCH($L186,$Z$105:$AJ$105,1)+1),
INDEX($Z$105:$AJ$105,MATCH($L186,$Z$105:$AJ$105,1)):INDEX($Z$105:$AJ$105,MATCH($L186,$Z$105:$AJ$105,1)+1)),0)</f>
        <v>0</v>
      </c>
      <c r="V186" s="162">
        <f>ABS($L186-$L187)*IF($B186,FORECAST($L186,
INDEX($Z$120:$AJ$120,MATCH($L186,$Z$105:$AJ$105,1)):INDEX($Z$120:$AJ$120,MATCH($L186,$Z$105:$AJ$105,1)+1),
INDEX($Z$105:$AJ$105,MATCH($L186,$Z$105:$AJ$105,1)):INDEX($Z$105:$AJ$105,MATCH($L186,$Z$105:$AJ$105,1)+1)),0)</f>
        <v>330.58208479415038</v>
      </c>
      <c r="W186" s="162">
        <f>ABS($L186-$L187)*IF($B186,FORECAST($L186,
INDEX($Z$121:$AJ$121,MATCH($L186,$Z$105:$AJ$105,1)):INDEX($Z$121:$AJ$121,MATCH($L186,$Z$105:$AJ$105,1)+1),
INDEX($Z$105:$AJ$105,MATCH($L186,$Z$105:$AJ$105,1)):INDEX($Z$105:$AJ$105,MATCH($L186,$Z$105:$AJ$105,1)+1)),0)</f>
        <v>338.48220996368849</v>
      </c>
      <c r="X186" s="162">
        <f>ABS($L186-$L187)*IF($B186,FORECAST($L186,
INDEX($Z$122:$AJ$122,MATCH($L186,$Z$105:$AJ$105,1)):INDEX($Z$122:$AJ$122,MATCH($L186,$Z$105:$AJ$105,1)+1),
INDEX($Z$105:$AJ$105,MATCH($L186,$Z$105:$AJ$105,1)):INDEX($Z$105:$AJ$105,MATCH($L186,$Z$105:$AJ$105,1)+1)),0)</f>
        <v>300.38639273599512</v>
      </c>
      <c r="AM186" s="44">
        <f t="shared" si="127"/>
        <v>1200</v>
      </c>
      <c r="AN186" s="45">
        <f t="shared" si="139"/>
        <v>979</v>
      </c>
      <c r="AO186" s="54">
        <f t="shared" si="99"/>
        <v>0.19000061560655013</v>
      </c>
      <c r="AP186" s="54">
        <f t="shared" si="100"/>
        <v>0.19000061560655013</v>
      </c>
      <c r="AQ186" s="54">
        <f t="shared" si="128"/>
        <v>0.38000123121310025</v>
      </c>
      <c r="AR186" s="46">
        <f t="shared" si="101"/>
        <v>1.1871768036878514</v>
      </c>
      <c r="AS186" s="47">
        <f t="shared" si="129"/>
        <v>6.6784807821948619E-5</v>
      </c>
      <c r="AT186" s="47">
        <f t="shared" si="140"/>
        <v>1.2568458461549935E-6</v>
      </c>
      <c r="AU186" s="48">
        <f t="shared" si="130"/>
        <v>46.295541155777691</v>
      </c>
      <c r="AV186" s="48">
        <f t="shared" si="102"/>
        <v>920.04696697211227</v>
      </c>
      <c r="AW186" s="140">
        <f t="shared" si="131"/>
        <v>-112.16935228316461</v>
      </c>
      <c r="AX186" s="53"/>
      <c r="AZ186" s="50">
        <f t="shared" si="132"/>
        <v>253.5292139384822</v>
      </c>
      <c r="BA186" s="50">
        <f t="shared" si="133"/>
        <v>253.5292139384822</v>
      </c>
      <c r="BB186" s="50">
        <f t="shared" si="103"/>
        <v>242.17568897965361</v>
      </c>
      <c r="BD186" s="50">
        <f t="shared" si="104"/>
        <v>1200</v>
      </c>
      <c r="BE186" s="50">
        <f t="shared" si="105"/>
        <v>979</v>
      </c>
      <c r="BF186" s="53">
        <f t="shared" si="106"/>
        <v>0.38000123121310025</v>
      </c>
      <c r="BG186" s="53">
        <f t="shared" si="134"/>
        <v>6.6784807821948619E-5</v>
      </c>
      <c r="BH186" s="53">
        <f t="shared" si="135"/>
        <v>920.04696697211227</v>
      </c>
      <c r="BI186" s="127">
        <f t="shared" si="136"/>
        <v>-112.16935228316461</v>
      </c>
      <c r="BK186" s="44">
        <f t="shared" si="137"/>
        <v>1200</v>
      </c>
      <c r="BL186" s="45">
        <f t="shared" si="141"/>
        <v>979</v>
      </c>
      <c r="BM186" s="119" cm="1">
        <f t="array" ref="BM186">IF(($AG$51=0),0,
_xlfn.IFS(BK186&lt;=$BL$102,($AG$53*(1-(BK186/$BL$102))),AND(BK186&gt;$BL$102,BK186&lt;($AG$55+$BL$102)),0,BK186&gt;=($AG$55+$BL$102),($AG$53*((BK186-($AG$55+$BL$102))/$BL$102)))-$AG$54)</f>
        <v>0</v>
      </c>
      <c r="BN186" s="119" cm="1">
        <f t="array" ref="BN186">IF(($AG$51=0),0,
_xlfn.IFS(BK186&lt;=$BL$102,($BL$103*(1-(BK186/$BL$102))),AND(BK186&gt;$BL$102,BK186&lt;($AG$55+$BL$102)),0,BK186&gt;=($AG$55+$BL$102),($BL$103*((BK186-($AG$55+$BL$102))/$BL$102))))</f>
        <v>0</v>
      </c>
      <c r="BO186" s="120">
        <f t="shared" si="107"/>
        <v>0</v>
      </c>
      <c r="BP186" s="121">
        <f t="shared" si="108"/>
        <v>0</v>
      </c>
      <c r="BQ186" s="121">
        <f t="shared" si="142"/>
        <v>0</v>
      </c>
      <c r="BR186" s="48">
        <f t="shared" si="109"/>
        <v>0</v>
      </c>
      <c r="BS186" s="48">
        <f t="shared" si="110"/>
        <v>979</v>
      </c>
      <c r="BU186" s="122"/>
      <c r="BW186" s="50">
        <f t="shared" si="144"/>
        <v>1200</v>
      </c>
      <c r="BX186" s="50">
        <f t="shared" si="145"/>
        <v>979</v>
      </c>
      <c r="BY186" s="53">
        <f t="shared" si="146"/>
        <v>0</v>
      </c>
      <c r="BZ186" s="53">
        <f t="shared" si="147"/>
        <v>0</v>
      </c>
      <c r="CA186" s="53">
        <f t="shared" si="148"/>
        <v>979</v>
      </c>
      <c r="CC186" s="126">
        <f t="shared" si="138"/>
        <v>920.04696697211227</v>
      </c>
      <c r="CD186" s="127">
        <f t="shared" si="111"/>
        <v>10.271214774067552</v>
      </c>
    </row>
    <row r="187" spans="2:82" x14ac:dyDescent="0.35">
      <c r="B187" s="50" t="b">
        <f t="shared" si="112"/>
        <v>1</v>
      </c>
      <c r="C187" s="21">
        <f t="shared" si="113"/>
        <v>161.1</v>
      </c>
      <c r="D187" s="13">
        <f t="shared" si="114"/>
        <v>3.5982245055257103</v>
      </c>
      <c r="E187" s="143">
        <f t="shared" si="115"/>
        <v>24.06818222202395</v>
      </c>
      <c r="F187" s="52">
        <f t="shared" si="116"/>
        <v>3.1875690019455538</v>
      </c>
      <c r="G187" s="50">
        <f t="shared" si="117"/>
        <v>228.82302567374253</v>
      </c>
      <c r="H187" s="50">
        <f t="shared" si="96"/>
        <v>252.89120789576648</v>
      </c>
      <c r="I187" s="16">
        <f t="shared" si="118"/>
        <v>1.2369142468107779</v>
      </c>
      <c r="J187" s="22">
        <f t="shared" si="119"/>
        <v>5.6056094685892613E-3</v>
      </c>
      <c r="K187" s="15">
        <f t="shared" si="143"/>
        <v>357.12899391836169</v>
      </c>
      <c r="L187" s="15">
        <f t="shared" si="97"/>
        <v>241.22188039065296</v>
      </c>
      <c r="M187" s="17">
        <f t="shared" si="120"/>
        <v>1.0483759080487032</v>
      </c>
      <c r="N187" s="15">
        <f t="shared" si="121"/>
        <v>252.89120789576648</v>
      </c>
      <c r="O187" s="17">
        <f t="shared" si="122"/>
        <v>1.0483759080487032</v>
      </c>
      <c r="P187" s="15">
        <f t="shared" si="123"/>
        <v>1</v>
      </c>
      <c r="Q187" s="7">
        <f t="shared" si="124"/>
        <v>4.4478402175242487E-2</v>
      </c>
      <c r="R187" s="17">
        <f t="shared" si="98"/>
        <v>1.0483759080487032</v>
      </c>
      <c r="S187" s="17">
        <f t="shared" si="125"/>
        <v>0.7270994200982942</v>
      </c>
      <c r="T187" s="162">
        <f t="shared" si="126"/>
        <v>210.87834986490151</v>
      </c>
      <c r="U187" s="162">
        <f>ABS($L187-$L188)*IF($B187,FORECAST($L187,
INDEX($Z$119:$AJ$119,MATCH($L187,$Z$105:$AJ$105,1)):INDEX($Z$119:$AJ$119,MATCH($L187,$Z$105:$AJ$105,1)+1),
INDEX($Z$105:$AJ$105,MATCH($L187,$Z$105:$AJ$105,1)):INDEX($Z$105:$AJ$105,MATCH($L187,$Z$105:$AJ$105,1)+1)),0)</f>
        <v>0</v>
      </c>
      <c r="V187" s="162">
        <f>ABS($L187-$L188)*IF($B187,FORECAST($L187,
INDEX($Z$120:$AJ$120,MATCH($L187,$Z$105:$AJ$105,1)):INDEX($Z$120:$AJ$120,MATCH($L187,$Z$105:$AJ$105,1)+1),
INDEX($Z$105:$AJ$105,MATCH($L187,$Z$105:$AJ$105,1)):INDEX($Z$105:$AJ$105,MATCH($L187,$Z$105:$AJ$105,1)+1)),0)</f>
        <v>289.42220516614276</v>
      </c>
      <c r="W187" s="162">
        <f>ABS($L187-$L188)*IF($B187,FORECAST($L187,
INDEX($Z$121:$AJ$121,MATCH($L187,$Z$105:$AJ$105,1)):INDEX($Z$121:$AJ$121,MATCH($L187,$Z$105:$AJ$105,1)+1),
INDEX($Z$105:$AJ$105,MATCH($L187,$Z$105:$AJ$105,1)):INDEX($Z$105:$AJ$105,MATCH($L187,$Z$105:$AJ$105,1)+1)),0)</f>
        <v>296.30172516963074</v>
      </c>
      <c r="X187" s="162">
        <f>ABS($L187-$L188)*IF($B187,FORECAST($L187,
INDEX($Z$122:$AJ$122,MATCH($L187,$Z$105:$AJ$105,1)):INDEX($Z$122:$AJ$122,MATCH($L187,$Z$105:$AJ$105,1)+1),
INDEX($Z$105:$AJ$105,MATCH($L187,$Z$105:$AJ$105,1)):INDEX($Z$105:$AJ$105,MATCH($L187,$Z$105:$AJ$105,1)+1)),0)</f>
        <v>263.02806828042657</v>
      </c>
      <c r="AM187" s="44">
        <f t="shared" si="127"/>
        <v>1215</v>
      </c>
      <c r="AN187" s="45">
        <f t="shared" si="139"/>
        <v>979</v>
      </c>
      <c r="AO187" s="54">
        <f t="shared" si="99"/>
        <v>0.13510046739247628</v>
      </c>
      <c r="AP187" s="54">
        <f t="shared" si="100"/>
        <v>0.13510046739247628</v>
      </c>
      <c r="AQ187" s="54">
        <f t="shared" si="128"/>
        <v>0.27020093478495255</v>
      </c>
      <c r="AR187" s="46">
        <f t="shared" si="101"/>
        <v>0.84414537575953785</v>
      </c>
      <c r="AS187" s="47">
        <f t="shared" si="129"/>
        <v>4.7487523778059344E-5</v>
      </c>
      <c r="AT187" s="47">
        <f t="shared" si="140"/>
        <v>1.2568474972661515E-6</v>
      </c>
      <c r="AU187" s="48">
        <f t="shared" si="130"/>
        <v>33.165670215731474</v>
      </c>
      <c r="AV187" s="48">
        <f t="shared" si="102"/>
        <v>906.91709603206596</v>
      </c>
      <c r="AW187" s="140">
        <f t="shared" si="131"/>
        <v>-136.79422760094818</v>
      </c>
      <c r="AX187" s="53"/>
      <c r="AZ187" s="50">
        <f t="shared" si="132"/>
        <v>252.89120789576648</v>
      </c>
      <c r="BA187" s="50">
        <f t="shared" si="133"/>
        <v>252.89120789576648</v>
      </c>
      <c r="BB187" s="50">
        <f t="shared" si="103"/>
        <v>241.22188039065296</v>
      </c>
      <c r="BD187" s="50">
        <f t="shared" si="104"/>
        <v>1215</v>
      </c>
      <c r="BE187" s="50">
        <f t="shared" si="105"/>
        <v>979</v>
      </c>
      <c r="BF187" s="53">
        <f t="shared" si="106"/>
        <v>0.27020093478495255</v>
      </c>
      <c r="BG187" s="53">
        <f t="shared" si="134"/>
        <v>4.7487523778059344E-5</v>
      </c>
      <c r="BH187" s="53">
        <f t="shared" si="135"/>
        <v>906.91709603206596</v>
      </c>
      <c r="BI187" s="127">
        <f t="shared" si="136"/>
        <v>-136.79422760094818</v>
      </c>
      <c r="BK187" s="44">
        <f t="shared" si="137"/>
        <v>1215</v>
      </c>
      <c r="BL187" s="45">
        <f t="shared" si="141"/>
        <v>979</v>
      </c>
      <c r="BM187" s="119" cm="1">
        <f t="array" ref="BM187">IF(($AG$51=0),0,
_xlfn.IFS(BK187&lt;=$BL$102,($AG$53*(1-(BK187/$BL$102))),AND(BK187&gt;$BL$102,BK187&lt;($AG$55+$BL$102)),0,BK187&gt;=($AG$55+$BL$102),($AG$53*((BK187-($AG$55+$BL$102))/$BL$102)))-$AG$54)</f>
        <v>0</v>
      </c>
      <c r="BN187" s="119" cm="1">
        <f t="array" ref="BN187">IF(($AG$51=0),0,
_xlfn.IFS(BK187&lt;=$BL$102,($BL$103*(1-(BK187/$BL$102))),AND(BK187&gt;$BL$102,BK187&lt;($AG$55+$BL$102)),0,BK187&gt;=($AG$55+$BL$102),($BL$103*((BK187-($AG$55+$BL$102))/$BL$102))))</f>
        <v>0</v>
      </c>
      <c r="BO187" s="120">
        <f t="shared" si="107"/>
        <v>0</v>
      </c>
      <c r="BP187" s="121">
        <f t="shared" si="108"/>
        <v>0</v>
      </c>
      <c r="BQ187" s="121">
        <f t="shared" si="142"/>
        <v>0</v>
      </c>
      <c r="BR187" s="48">
        <f t="shared" si="109"/>
        <v>0</v>
      </c>
      <c r="BS187" s="48">
        <f t="shared" si="110"/>
        <v>979</v>
      </c>
      <c r="BU187" s="122"/>
      <c r="BW187" s="50">
        <f t="shared" si="144"/>
        <v>1215</v>
      </c>
      <c r="BX187" s="50">
        <f t="shared" si="145"/>
        <v>979</v>
      </c>
      <c r="BY187" s="53">
        <f t="shared" si="146"/>
        <v>0</v>
      </c>
      <c r="BZ187" s="53">
        <f t="shared" si="147"/>
        <v>0</v>
      </c>
      <c r="CA187" s="53">
        <f t="shared" si="148"/>
        <v>979</v>
      </c>
      <c r="CC187" s="126">
        <f t="shared" si="138"/>
        <v>906.91709603206596</v>
      </c>
      <c r="CD187" s="127">
        <f t="shared" si="111"/>
        <v>10.419916044526605</v>
      </c>
    </row>
    <row r="188" spans="2:82" x14ac:dyDescent="0.35">
      <c r="B188" s="50" t="b">
        <f t="shared" si="112"/>
        <v>1</v>
      </c>
      <c r="C188" s="21">
        <f t="shared" si="113"/>
        <v>163.08888888888887</v>
      </c>
      <c r="D188" s="13">
        <f t="shared" si="114"/>
        <v>3.6038301149942997</v>
      </c>
      <c r="E188" s="143">
        <f t="shared" si="115"/>
        <v>20.717020310266093</v>
      </c>
      <c r="F188" s="52">
        <f t="shared" si="116"/>
        <v>3.226441794652207</v>
      </c>
      <c r="G188" s="50">
        <f t="shared" si="117"/>
        <v>231.61355037708086</v>
      </c>
      <c r="H188" s="50">
        <f t="shared" si="96"/>
        <v>252.33057068734695</v>
      </c>
      <c r="I188" s="16">
        <f t="shared" si="118"/>
        <v>1.0646910238940965</v>
      </c>
      <c r="J188" s="22">
        <f t="shared" si="119"/>
        <v>4.8251057824348588E-3</v>
      </c>
      <c r="K188" s="15">
        <f t="shared" si="143"/>
        <v>355.89307967155088</v>
      </c>
      <c r="L188" s="15">
        <f t="shared" si="97"/>
        <v>240.38708522225659</v>
      </c>
      <c r="M188" s="17">
        <f t="shared" si="120"/>
        <v>1.049684389051299</v>
      </c>
      <c r="N188" s="15">
        <f t="shared" si="121"/>
        <v>252.33057068734695</v>
      </c>
      <c r="O188" s="17">
        <f t="shared" si="122"/>
        <v>1.049684389051299</v>
      </c>
      <c r="P188" s="15">
        <f t="shared" si="123"/>
        <v>1</v>
      </c>
      <c r="Q188" s="7">
        <f t="shared" si="124"/>
        <v>4.3697898489088081E-2</v>
      </c>
      <c r="R188" s="17">
        <f t="shared" si="98"/>
        <v>1.049684389051299</v>
      </c>
      <c r="S188" s="17">
        <f t="shared" si="125"/>
        <v>0.72800691498719128</v>
      </c>
      <c r="T188" s="162">
        <f t="shared" si="126"/>
        <v>181.11735927320808</v>
      </c>
      <c r="U188" s="162">
        <f>ABS($L188-$L189)*IF($B188,FORECAST($L188,
INDEX($Z$119:$AJ$119,MATCH($L188,$Z$105:$AJ$105,1)):INDEX($Z$119:$AJ$119,MATCH($L188,$Z$105:$AJ$105,1)+1),
INDEX($Z$105:$AJ$105,MATCH($L188,$Z$105:$AJ$105,1)):INDEX($Z$105:$AJ$105,MATCH($L188,$Z$105:$AJ$105,1)+1)),0)</f>
        <v>0</v>
      </c>
      <c r="V188" s="162">
        <f>ABS($L188-$L189)*IF($B188,FORECAST($L188,
INDEX($Z$120:$AJ$120,MATCH($L188,$Z$105:$AJ$105,1)):INDEX($Z$120:$AJ$120,MATCH($L188,$Z$105:$AJ$105,1)+1),
INDEX($Z$105:$AJ$105,MATCH($L188,$Z$105:$AJ$105,1)):INDEX($Z$105:$AJ$105,MATCH($L188,$Z$105:$AJ$105,1)+1)),0)</f>
        <v>249.15872890745499</v>
      </c>
      <c r="W188" s="162">
        <f>ABS($L188-$L189)*IF($B188,FORECAST($L188,
INDEX($Z$121:$AJ$121,MATCH($L188,$Z$105:$AJ$105,1)):INDEX($Z$121:$AJ$121,MATCH($L188,$Z$105:$AJ$105,1)+1),
INDEX($Z$105:$AJ$105,MATCH($L188,$Z$105:$AJ$105,1)):INDEX($Z$105:$AJ$105,MATCH($L188,$Z$105:$AJ$105,1)+1)),0)</f>
        <v>255.05334392436379</v>
      </c>
      <c r="X188" s="162">
        <f>ABS($L188-$L189)*IF($B188,FORECAST($L188,
INDEX($Z$122:$AJ$122,MATCH($L188,$Z$105:$AJ$105,1)):INDEX($Z$122:$AJ$122,MATCH($L188,$Z$105:$AJ$105,1)+1),
INDEX($Z$105:$AJ$105,MATCH($L188,$Z$105:$AJ$105,1)):INDEX($Z$105:$AJ$105,MATCH($L188,$Z$105:$AJ$105,1)+1)),0)</f>
        <v>226.46806422079135</v>
      </c>
      <c r="AM188" s="44">
        <f t="shared" si="127"/>
        <v>1230</v>
      </c>
      <c r="AN188" s="45">
        <f t="shared" si="139"/>
        <v>979</v>
      </c>
      <c r="AO188" s="54">
        <f t="shared" si="99"/>
        <v>7.8400289014098234E-2</v>
      </c>
      <c r="AP188" s="54">
        <f t="shared" si="100"/>
        <v>7.8400289014098234E-2</v>
      </c>
      <c r="AQ188" s="54">
        <f t="shared" si="128"/>
        <v>0.15680057802819647</v>
      </c>
      <c r="AR188" s="46">
        <f t="shared" si="101"/>
        <v>0.48986685765639287</v>
      </c>
      <c r="AS188" s="47">
        <f t="shared" si="129"/>
        <v>2.7557533002073464E-5</v>
      </c>
      <c r="AT188" s="47">
        <f t="shared" si="140"/>
        <v>-3.4446321632534593E-6</v>
      </c>
      <c r="AU188" s="48">
        <f t="shared" si="130"/>
        <v>16.406417730733132</v>
      </c>
      <c r="AV188" s="48">
        <f t="shared" si="102"/>
        <v>890.15784354706761</v>
      </c>
      <c r="AW188" s="140">
        <f t="shared" si="131"/>
        <v>-162.22648723018025</v>
      </c>
      <c r="AX188" s="53"/>
      <c r="AZ188" s="50">
        <f t="shared" si="132"/>
        <v>252.33057068734695</v>
      </c>
      <c r="BA188" s="50">
        <f t="shared" si="133"/>
        <v>252.33057068734695</v>
      </c>
      <c r="BB188" s="50">
        <f t="shared" si="103"/>
        <v>240.38708522225659</v>
      </c>
      <c r="BD188" s="50">
        <f t="shared" si="104"/>
        <v>1230</v>
      </c>
      <c r="BE188" s="50">
        <f t="shared" si="105"/>
        <v>979</v>
      </c>
      <c r="BF188" s="53">
        <f t="shared" si="106"/>
        <v>0.15680057802819647</v>
      </c>
      <c r="BG188" s="53">
        <f t="shared" si="134"/>
        <v>2.7557533002073464E-5</v>
      </c>
      <c r="BH188" s="53">
        <f t="shared" si="135"/>
        <v>890.15784354706761</v>
      </c>
      <c r="BI188" s="127">
        <f t="shared" si="136"/>
        <v>-162.22648723018025</v>
      </c>
      <c r="BK188" s="44">
        <f t="shared" si="137"/>
        <v>1230</v>
      </c>
      <c r="BL188" s="45">
        <f t="shared" si="141"/>
        <v>979</v>
      </c>
      <c r="BM188" s="119" cm="1">
        <f t="array" ref="BM188">IF(($AG$51=0),0,
_xlfn.IFS(BK188&lt;=$BL$102,($AG$53*(1-(BK188/$BL$102))),AND(BK188&gt;$BL$102,BK188&lt;($AG$55+$BL$102)),0,BK188&gt;=($AG$55+$BL$102),($AG$53*((BK188-($AG$55+$BL$102))/$BL$102)))-$AG$54)</f>
        <v>0</v>
      </c>
      <c r="BN188" s="119" cm="1">
        <f t="array" ref="BN188">IF(($AG$51=0),0,
_xlfn.IFS(BK188&lt;=$BL$102,($BL$103*(1-(BK188/$BL$102))),AND(BK188&gt;$BL$102,BK188&lt;($AG$55+$BL$102)),0,BK188&gt;=($AG$55+$BL$102),($BL$103*((BK188-($AG$55+$BL$102))/$BL$102))))</f>
        <v>0</v>
      </c>
      <c r="BO188" s="120">
        <f t="shared" si="107"/>
        <v>0</v>
      </c>
      <c r="BP188" s="121">
        <f t="shared" si="108"/>
        <v>0</v>
      </c>
      <c r="BQ188" s="121">
        <f t="shared" si="142"/>
        <v>0</v>
      </c>
      <c r="BR188" s="48">
        <f t="shared" si="109"/>
        <v>0</v>
      </c>
      <c r="BS188" s="48">
        <f t="shared" si="110"/>
        <v>979</v>
      </c>
      <c r="BU188" s="122"/>
      <c r="BW188" s="50">
        <f t="shared" si="144"/>
        <v>1230</v>
      </c>
      <c r="BX188" s="50">
        <f t="shared" si="145"/>
        <v>979</v>
      </c>
      <c r="BY188" s="53">
        <f t="shared" si="146"/>
        <v>0</v>
      </c>
      <c r="BZ188" s="53">
        <f t="shared" si="147"/>
        <v>0</v>
      </c>
      <c r="CA188" s="53">
        <f t="shared" si="148"/>
        <v>979</v>
      </c>
      <c r="CC188" s="126">
        <f t="shared" si="138"/>
        <v>890.15784354706761</v>
      </c>
      <c r="CD188" s="127">
        <f t="shared" si="111"/>
        <v>10.616094739270054</v>
      </c>
    </row>
    <row r="189" spans="2:82" x14ac:dyDescent="0.35">
      <c r="B189" s="50" t="b">
        <f t="shared" si="112"/>
        <v>1</v>
      </c>
      <c r="C189" s="21">
        <f t="shared" si="113"/>
        <v>165.07777777777775</v>
      </c>
      <c r="D189" s="13">
        <f t="shared" si="114"/>
        <v>3.6086552207767344</v>
      </c>
      <c r="E189" s="143">
        <f t="shared" si="115"/>
        <v>17.442308593146521</v>
      </c>
      <c r="F189" s="52">
        <f t="shared" si="116"/>
        <v>3.2653145873588603</v>
      </c>
      <c r="G189" s="50">
        <f t="shared" si="117"/>
        <v>234.4040750804192</v>
      </c>
      <c r="H189" s="50">
        <f t="shared" si="96"/>
        <v>251.84638367356573</v>
      </c>
      <c r="I189" s="16">
        <f t="shared" si="118"/>
        <v>0.89639673645111395</v>
      </c>
      <c r="J189" s="22">
        <f t="shared" si="119"/>
        <v>4.0624077590009147E-3</v>
      </c>
      <c r="K189" s="15">
        <f t="shared" si="143"/>
        <v>354.82938864765674</v>
      </c>
      <c r="L189" s="15">
        <f t="shared" si="97"/>
        <v>239.66861779645848</v>
      </c>
      <c r="M189" s="17">
        <f t="shared" si="120"/>
        <v>1.0508108487004726</v>
      </c>
      <c r="N189" s="15">
        <f t="shared" si="121"/>
        <v>251.84638367356573</v>
      </c>
      <c r="O189" s="17">
        <f t="shared" si="122"/>
        <v>1.0508108487004726</v>
      </c>
      <c r="P189" s="15">
        <f t="shared" si="123"/>
        <v>1</v>
      </c>
      <c r="Q189" s="7">
        <f t="shared" si="124"/>
        <v>4.293520046565414E-2</v>
      </c>
      <c r="R189" s="17">
        <f t="shared" si="98"/>
        <v>1.0508108487004726</v>
      </c>
      <c r="S189" s="17">
        <f t="shared" si="125"/>
        <v>0.72878816926000523</v>
      </c>
      <c r="T189" s="162">
        <f t="shared" si="126"/>
        <v>152.19143503443658</v>
      </c>
      <c r="U189" s="162">
        <f>ABS($L189-$L190)*IF($B189,FORECAST($L189,
INDEX($Z$119:$AJ$119,MATCH($L189,$Z$105:$AJ$105,1)):INDEX($Z$119:$AJ$119,MATCH($L189,$Z$105:$AJ$105,1)+1),
INDEX($Z$105:$AJ$105,MATCH($L189,$Z$105:$AJ$105,1)):INDEX($Z$105:$AJ$105,MATCH($L189,$Z$105:$AJ$105,1)+1)),0)</f>
        <v>0</v>
      </c>
      <c r="V189" s="162">
        <f>ABS($L189-$L190)*IF($B189,FORECAST($L189,
INDEX($Z$120:$AJ$120,MATCH($L189,$Z$105:$AJ$105,1)):INDEX($Z$120:$AJ$120,MATCH($L189,$Z$105:$AJ$105,1)+1),
INDEX($Z$105:$AJ$105,MATCH($L189,$Z$105:$AJ$105,1)):INDEX($Z$105:$AJ$105,MATCH($L189,$Z$105:$AJ$105,1)+1)),0)</f>
        <v>209.78618174535495</v>
      </c>
      <c r="W189" s="162">
        <f>ABS($L189-$L190)*IF($B189,FORECAST($L189,
INDEX($Z$121:$AJ$121,MATCH($L189,$Z$105:$AJ$105,1)):INDEX($Z$121:$AJ$121,MATCH($L189,$Z$105:$AJ$105,1)+1),
INDEX($Z$105:$AJ$105,MATCH($L189,$Z$105:$AJ$105,1)):INDEX($Z$105:$AJ$105,MATCH($L189,$Z$105:$AJ$105,1)+1)),0)</f>
        <v>214.72914792862676</v>
      </c>
      <c r="X189" s="162">
        <f>ABS($L189-$L190)*IF($B189,FORECAST($L189,
INDEX($Z$122:$AJ$122,MATCH($L189,$Z$105:$AJ$105,1)):INDEX($Z$122:$AJ$122,MATCH($L189,$Z$105:$AJ$105,1)+1),
INDEX($Z$105:$AJ$105,MATCH($L189,$Z$105:$AJ$105,1)):INDEX($Z$105:$AJ$105,MATCH($L189,$Z$105:$AJ$105,1)+1)),0)</f>
        <v>190.70403159775154</v>
      </c>
      <c r="AM189" s="44">
        <f t="shared" si="127"/>
        <v>1245</v>
      </c>
      <c r="AN189" s="45">
        <f t="shared" si="139"/>
        <v>979</v>
      </c>
      <c r="AO189" s="54">
        <f t="shared" si="99"/>
        <v>1.990007801214233E-2</v>
      </c>
      <c r="AP189" s="54">
        <f t="shared" si="100"/>
        <v>1.990007801214233E-2</v>
      </c>
      <c r="AQ189" s="54">
        <f t="shared" si="128"/>
        <v>3.9800156024284661E-2</v>
      </c>
      <c r="AR189" s="46">
        <f t="shared" si="101"/>
        <v>0.12434123401218902</v>
      </c>
      <c r="AS189" s="47">
        <f t="shared" si="129"/>
        <v>6.9948346295615562E-6</v>
      </c>
      <c r="AT189" s="47">
        <f t="shared" si="140"/>
        <v>-2.0074378119800076E-5</v>
      </c>
      <c r="AU189" s="48">
        <f t="shared" si="130"/>
        <v>-8.8993213907582884</v>
      </c>
      <c r="AV189" s="48">
        <f t="shared" si="102"/>
        <v>864.85210442557627</v>
      </c>
      <c r="AW189" s="140">
        <f t="shared" si="131"/>
        <v>-188.46613227394172</v>
      </c>
      <c r="AX189" s="53"/>
      <c r="AZ189" s="50">
        <f t="shared" si="132"/>
        <v>251.84638367356573</v>
      </c>
      <c r="BA189" s="50">
        <f t="shared" si="133"/>
        <v>251.84638367356573</v>
      </c>
      <c r="BB189" s="50">
        <f t="shared" si="103"/>
        <v>239.66861779645848</v>
      </c>
      <c r="BD189" s="50">
        <f t="shared" si="104"/>
        <v>1245</v>
      </c>
      <c r="BE189" s="50">
        <f t="shared" si="105"/>
        <v>979</v>
      </c>
      <c r="BF189" s="53">
        <f t="shared" si="106"/>
        <v>3.9800156024284661E-2</v>
      </c>
      <c r="BG189" s="53">
        <f t="shared" si="134"/>
        <v>6.9948346295615562E-6</v>
      </c>
      <c r="BH189" s="53">
        <f t="shared" si="135"/>
        <v>864.85210442557627</v>
      </c>
      <c r="BI189" s="127">
        <f t="shared" si="136"/>
        <v>-188.46613227394172</v>
      </c>
      <c r="BK189" s="44">
        <f t="shared" si="137"/>
        <v>1245</v>
      </c>
      <c r="BL189" s="45">
        <f t="shared" si="141"/>
        <v>979</v>
      </c>
      <c r="BM189" s="119" cm="1">
        <f t="array" ref="BM189">IF(($AG$51=0),0,
_xlfn.IFS(BK189&lt;=$BL$102,($AG$53*(1-(BK189/$BL$102))),AND(BK189&gt;$BL$102,BK189&lt;($AG$55+$BL$102)),0,BK189&gt;=($AG$55+$BL$102),($AG$53*((BK189-($AG$55+$BL$102))/$BL$102)))-$AG$54)</f>
        <v>0</v>
      </c>
      <c r="BN189" s="119" cm="1">
        <f t="array" ref="BN189">IF(($AG$51=0),0,
_xlfn.IFS(BK189&lt;=$BL$102,($BL$103*(1-(BK189/$BL$102))),AND(BK189&gt;$BL$102,BK189&lt;($AG$55+$BL$102)),0,BK189&gt;=($AG$55+$BL$102),($BL$103*((BK189-($AG$55+$BL$102))/$BL$102))))</f>
        <v>0</v>
      </c>
      <c r="BO189" s="120">
        <f t="shared" si="107"/>
        <v>0</v>
      </c>
      <c r="BP189" s="121">
        <f t="shared" si="108"/>
        <v>0</v>
      </c>
      <c r="BQ189" s="121">
        <f t="shared" si="142"/>
        <v>0</v>
      </c>
      <c r="BR189" s="48">
        <f t="shared" si="109"/>
        <v>0</v>
      </c>
      <c r="BS189" s="48">
        <f t="shared" si="110"/>
        <v>979</v>
      </c>
      <c r="BU189" s="122"/>
      <c r="BW189" s="50">
        <f t="shared" si="144"/>
        <v>1245</v>
      </c>
      <c r="BX189" s="50">
        <f t="shared" si="145"/>
        <v>979</v>
      </c>
      <c r="BY189" s="53">
        <f t="shared" si="146"/>
        <v>0</v>
      </c>
      <c r="BZ189" s="53">
        <f t="shared" si="147"/>
        <v>0</v>
      </c>
      <c r="CA189" s="53">
        <f t="shared" si="148"/>
        <v>979</v>
      </c>
      <c r="CC189" s="126">
        <f t="shared" si="138"/>
        <v>864.85210442557627</v>
      </c>
      <c r="CD189" s="127">
        <f t="shared" si="111"/>
        <v>10.926723715700003</v>
      </c>
    </row>
    <row r="190" spans="2:82" x14ac:dyDescent="0.35">
      <c r="B190" s="50" t="b">
        <f t="shared" si="112"/>
        <v>1</v>
      </c>
      <c r="C190" s="21">
        <f t="shared" si="113"/>
        <v>167.06666666666663</v>
      </c>
      <c r="D190" s="13">
        <f t="shared" si="114"/>
        <v>3.6127176285357354</v>
      </c>
      <c r="E190" s="143">
        <f t="shared" si="115"/>
        <v>14.243003173056167</v>
      </c>
      <c r="F190" s="52">
        <f t="shared" si="116"/>
        <v>3.3041873800655135</v>
      </c>
      <c r="G190" s="50">
        <f t="shared" si="117"/>
        <v>237.19459978375752</v>
      </c>
      <c r="H190" s="50">
        <f t="shared" si="96"/>
        <v>251.43760295681369</v>
      </c>
      <c r="I190" s="16">
        <f t="shared" si="118"/>
        <v>0.73197773639935493</v>
      </c>
      <c r="J190" s="22">
        <f t="shared" si="119"/>
        <v>3.3172722689032617E-3</v>
      </c>
      <c r="K190" s="15">
        <f t="shared" si="143"/>
        <v>353.93399191120562</v>
      </c>
      <c r="L190" s="15">
        <f t="shared" si="97"/>
        <v>239.06382432367823</v>
      </c>
      <c r="M190" s="17">
        <f t="shared" si="120"/>
        <v>1.0517593101680751</v>
      </c>
      <c r="N190" s="15">
        <f t="shared" si="121"/>
        <v>251.43760295681369</v>
      </c>
      <c r="O190" s="17">
        <f t="shared" si="122"/>
        <v>1.0517593101680751</v>
      </c>
      <c r="P190" s="15">
        <f t="shared" si="123"/>
        <v>1</v>
      </c>
      <c r="Q190" s="7">
        <f t="shared" si="124"/>
        <v>4.2190064975556489E-2</v>
      </c>
      <c r="R190" s="17">
        <f t="shared" si="98"/>
        <v>1.0517593101680751</v>
      </c>
      <c r="S190" s="17">
        <f t="shared" si="125"/>
        <v>0.72944597318108439</v>
      </c>
      <c r="T190" s="162">
        <f t="shared" si="126"/>
        <v>124.06148088660757</v>
      </c>
      <c r="U190" s="162">
        <f>ABS($L190-$L191)*IF($B190,FORECAST($L190,
INDEX($Z$119:$AJ$119,MATCH($L190,$Z$105:$AJ$105,1)):INDEX($Z$119:$AJ$119,MATCH($L190,$Z$105:$AJ$105,1)+1),
INDEX($Z$105:$AJ$105,MATCH($L190,$Z$105:$AJ$105,1)):INDEX($Z$105:$AJ$105,MATCH($L190,$Z$105:$AJ$105,1)+1)),0)</f>
        <v>0</v>
      </c>
      <c r="V190" s="162">
        <f>ABS($L190-$L191)*IF($B190,FORECAST($L190,
INDEX($Z$120:$AJ$120,MATCH($L190,$Z$105:$AJ$105,1)):INDEX($Z$120:$AJ$120,MATCH($L190,$Z$105:$AJ$105,1)+1),
INDEX($Z$105:$AJ$105,MATCH($L190,$Z$105:$AJ$105,1)):INDEX($Z$105:$AJ$105,MATCH($L190,$Z$105:$AJ$105,1)+1)),0)</f>
        <v>171.29722220549064</v>
      </c>
      <c r="W190" s="162">
        <f>ABS($L190-$L191)*IF($B190,FORECAST($L190,
INDEX($Z$121:$AJ$121,MATCH($L190,$Z$105:$AJ$105,1)):INDEX($Z$121:$AJ$121,MATCH($L190,$Z$105:$AJ$105,1)+1),
INDEX($Z$105:$AJ$105,MATCH($L190,$Z$105:$AJ$105,1)):INDEX($Z$105:$AJ$105,MATCH($L190,$Z$105:$AJ$105,1)+1)),0)</f>
        <v>175.31945643909137</v>
      </c>
      <c r="X190" s="162">
        <f>ABS($L190-$L191)*IF($B190,FORECAST($L190,
INDEX($Z$122:$AJ$122,MATCH($L190,$Z$105:$AJ$105,1)):INDEX($Z$122:$AJ$122,MATCH($L190,$Z$105:$AJ$105,1)+1),
INDEX($Z$105:$AJ$105,MATCH($L190,$Z$105:$AJ$105,1)):INDEX($Z$105:$AJ$105,MATCH($L190,$Z$105:$AJ$105,1)+1)),0)</f>
        <v>155.73175526981044</v>
      </c>
      <c r="AM190" s="44">
        <f t="shared" si="127"/>
        <v>1260</v>
      </c>
      <c r="AN190" s="45">
        <f t="shared" si="139"/>
        <v>979</v>
      </c>
      <c r="AO190" s="54">
        <f t="shared" si="99"/>
        <v>0</v>
      </c>
      <c r="AP190" s="54">
        <f t="shared" si="100"/>
        <v>0</v>
      </c>
      <c r="AQ190" s="54">
        <f t="shared" si="128"/>
        <v>0</v>
      </c>
      <c r="AR190" s="46">
        <f t="shared" si="101"/>
        <v>0</v>
      </c>
      <c r="AS190" s="47">
        <f t="shared" si="129"/>
        <v>0</v>
      </c>
      <c r="AT190" s="47">
        <f t="shared" si="140"/>
        <v>-1.3755318759570219E-5</v>
      </c>
      <c r="AU190" s="48">
        <f t="shared" si="130"/>
        <v>-9.3591188840115773</v>
      </c>
      <c r="AV190" s="48">
        <f t="shared" si="102"/>
        <v>864.39230693232298</v>
      </c>
      <c r="AW190" s="140">
        <f t="shared" si="131"/>
        <v>-197.39209979505577</v>
      </c>
      <c r="AX190" s="53"/>
      <c r="AZ190" s="50">
        <f t="shared" si="132"/>
        <v>251.43760295681369</v>
      </c>
      <c r="BA190" s="50">
        <f t="shared" si="133"/>
        <v>251.43760295681369</v>
      </c>
      <c r="BB190" s="50">
        <f t="shared" si="103"/>
        <v>239.06382432367823</v>
      </c>
      <c r="BD190" s="50">
        <f t="shared" si="104"/>
        <v>1260</v>
      </c>
      <c r="BE190" s="50">
        <f t="shared" si="105"/>
        <v>979</v>
      </c>
      <c r="BF190" s="53">
        <f t="shared" si="106"/>
        <v>0</v>
      </c>
      <c r="BG190" s="53">
        <f t="shared" si="134"/>
        <v>0</v>
      </c>
      <c r="BH190" s="53">
        <f t="shared" si="135"/>
        <v>864.39230693232298</v>
      </c>
      <c r="BI190" s="127">
        <f t="shared" si="136"/>
        <v>-197.39209979505577</v>
      </c>
      <c r="BK190" s="44">
        <f t="shared" si="137"/>
        <v>1260</v>
      </c>
      <c r="BL190" s="45">
        <f t="shared" si="141"/>
        <v>979</v>
      </c>
      <c r="BM190" s="119" cm="1">
        <f t="array" ref="BM190">IF(($AG$51=0),0,
_xlfn.IFS(BK190&lt;=$BL$102,($AG$53*(1-(BK190/$BL$102))),AND(BK190&gt;$BL$102,BK190&lt;($AG$55+$BL$102)),0,BK190&gt;=($AG$55+$BL$102),($AG$53*((BK190-($AG$55+$BL$102))/$BL$102)))-$AG$54)</f>
        <v>0</v>
      </c>
      <c r="BN190" s="119" cm="1">
        <f t="array" ref="BN190">IF(($AG$51=0),0,
_xlfn.IFS(BK190&lt;=$BL$102,($BL$103*(1-(BK190/$BL$102))),AND(BK190&gt;$BL$102,BK190&lt;($AG$55+$BL$102)),0,BK190&gt;=($AG$55+$BL$102),($BL$103*((BK190-($AG$55+$BL$102))/$BL$102))))</f>
        <v>0</v>
      </c>
      <c r="BO190" s="120">
        <f t="shared" si="107"/>
        <v>0</v>
      </c>
      <c r="BP190" s="121">
        <f t="shared" si="108"/>
        <v>0</v>
      </c>
      <c r="BQ190" s="121">
        <f t="shared" si="142"/>
        <v>0</v>
      </c>
      <c r="BR190" s="48">
        <f t="shared" si="109"/>
        <v>0</v>
      </c>
      <c r="BS190" s="48">
        <f t="shared" si="110"/>
        <v>979</v>
      </c>
      <c r="BU190" s="122"/>
      <c r="BW190" s="50">
        <f t="shared" si="144"/>
        <v>1260</v>
      </c>
      <c r="BX190" s="50">
        <f t="shared" si="145"/>
        <v>979</v>
      </c>
      <c r="BY190" s="53">
        <f t="shared" si="146"/>
        <v>0</v>
      </c>
      <c r="BZ190" s="53">
        <f t="shared" si="147"/>
        <v>0</v>
      </c>
      <c r="CA190" s="53">
        <f t="shared" si="148"/>
        <v>979</v>
      </c>
      <c r="CC190" s="126">
        <f t="shared" si="138"/>
        <v>864.39230693232298</v>
      </c>
      <c r="CD190" s="127">
        <f t="shared" si="111"/>
        <v>10.932535984196214</v>
      </c>
    </row>
    <row r="191" spans="2:82" x14ac:dyDescent="0.35">
      <c r="B191" s="50" t="b">
        <f t="shared" si="112"/>
        <v>1</v>
      </c>
      <c r="C191" s="21">
        <f t="shared" si="113"/>
        <v>169.05555555555551</v>
      </c>
      <c r="D191" s="13">
        <f t="shared" si="114"/>
        <v>3.6160349008046389</v>
      </c>
      <c r="E191" s="143">
        <f t="shared" si="115"/>
        <v>11.117947344236427</v>
      </c>
      <c r="F191" s="52">
        <f t="shared" si="116"/>
        <v>3.3430601727721667</v>
      </c>
      <c r="G191" s="50">
        <f t="shared" si="117"/>
        <v>239.98512448709585</v>
      </c>
      <c r="H191" s="50">
        <f t="shared" si="96"/>
        <v>251.10307183133227</v>
      </c>
      <c r="I191" s="16">
        <f t="shared" si="118"/>
        <v>0.57137457820949034</v>
      </c>
      <c r="J191" s="22">
        <f t="shared" si="119"/>
        <v>2.589429909131196E-3</v>
      </c>
      <c r="K191" s="15">
        <f t="shared" si="143"/>
        <v>353.20301417480624</v>
      </c>
      <c r="L191" s="15">
        <f t="shared" si="97"/>
        <v>238.57008725079788</v>
      </c>
      <c r="M191" s="17">
        <f t="shared" si="120"/>
        <v>1.052533763662328</v>
      </c>
      <c r="N191" s="15">
        <f t="shared" si="121"/>
        <v>251.10307183133227</v>
      </c>
      <c r="O191" s="17">
        <f t="shared" si="122"/>
        <v>1.052533763662328</v>
      </c>
      <c r="P191" s="15">
        <f t="shared" si="123"/>
        <v>1</v>
      </c>
      <c r="Q191" s="7">
        <f t="shared" si="124"/>
        <v>4.1462222615784423E-2</v>
      </c>
      <c r="R191" s="17">
        <f t="shared" si="98"/>
        <v>1.052533763662328</v>
      </c>
      <c r="S191" s="17">
        <f t="shared" si="125"/>
        <v>0.72998309415290497</v>
      </c>
      <c r="T191" s="162">
        <f t="shared" si="126"/>
        <v>96.689105719596654</v>
      </c>
      <c r="U191" s="162">
        <f>ABS($L191-$L192)*IF($B191,FORECAST($L191,
INDEX($Z$119:$AJ$119,MATCH($L191,$Z$105:$AJ$105,1)):INDEX($Z$119:$AJ$119,MATCH($L191,$Z$105:$AJ$105,1)+1),
INDEX($Z$105:$AJ$105,MATCH($L191,$Z$105:$AJ$105,1)):INDEX($Z$105:$AJ$105,MATCH($L191,$Z$105:$AJ$105,1)+1)),0)</f>
        <v>0</v>
      </c>
      <c r="V191" s="162">
        <f>ABS($L191-$L192)*IF($B191,FORECAST($L191,
INDEX($Z$120:$AJ$120,MATCH($L191,$Z$105:$AJ$105,1)):INDEX($Z$120:$AJ$120,MATCH($L191,$Z$105:$AJ$105,1)+1),
INDEX($Z$105:$AJ$105,MATCH($L191,$Z$105:$AJ$105,1)):INDEX($Z$105:$AJ$105,MATCH($L191,$Z$105:$AJ$105,1)+1)),0)</f>
        <v>133.68280415966507</v>
      </c>
      <c r="W191" s="162">
        <f>ABS($L191-$L192)*IF($B191,FORECAST($L191,
INDEX($Z$121:$AJ$121,MATCH($L191,$Z$105:$AJ$105,1)):INDEX($Z$121:$AJ$121,MATCH($L191,$Z$105:$AJ$105,1)+1),
INDEX($Z$105:$AJ$105,MATCH($L191,$Z$105:$AJ$105,1)):INDEX($Z$105:$AJ$105,MATCH($L191,$Z$105:$AJ$105,1)+1)),0)</f>
        <v>136.81298740795259</v>
      </c>
      <c r="X191" s="162">
        <f>ABS($L191-$L192)*IF($B191,FORECAST($L191,
INDEX($Z$122:$AJ$122,MATCH($L191,$Z$105:$AJ$105,1)):INDEX($Z$122:$AJ$122,MATCH($L191,$Z$105:$AJ$105,1)+1),
INDEX($Z$105:$AJ$105,MATCH($L191,$Z$105:$AJ$105,1)):INDEX($Z$105:$AJ$105,MATCH($L191,$Z$105:$AJ$105,1)+1)),0)</f>
        <v>121.54530762056052</v>
      </c>
      <c r="AM191" s="44">
        <f t="shared" si="127"/>
        <v>1275</v>
      </c>
      <c r="AN191" s="45">
        <f t="shared" si="139"/>
        <v>979</v>
      </c>
      <c r="AO191" s="54">
        <f t="shared" si="99"/>
        <v>0</v>
      </c>
      <c r="AP191" s="54">
        <f t="shared" si="100"/>
        <v>0</v>
      </c>
      <c r="AQ191" s="54">
        <f t="shared" si="128"/>
        <v>0</v>
      </c>
      <c r="AR191" s="46">
        <f t="shared" si="101"/>
        <v>0</v>
      </c>
      <c r="AS191" s="47">
        <f t="shared" si="129"/>
        <v>0</v>
      </c>
      <c r="AT191" s="47">
        <f t="shared" si="140"/>
        <v>-2.3158281367590795E-6</v>
      </c>
      <c r="AU191" s="48">
        <f t="shared" si="130"/>
        <v>-1.5756894642508779</v>
      </c>
      <c r="AV191" s="48">
        <f t="shared" si="102"/>
        <v>872.17573635208362</v>
      </c>
      <c r="AW191" s="140">
        <f t="shared" si="131"/>
        <v>-197.39209979505577</v>
      </c>
      <c r="AX191" s="53"/>
      <c r="AZ191" s="50">
        <f t="shared" si="132"/>
        <v>251.10307183133227</v>
      </c>
      <c r="BA191" s="50">
        <f t="shared" si="133"/>
        <v>251.10307183133227</v>
      </c>
      <c r="BB191" s="50">
        <f t="shared" si="103"/>
        <v>238.57008725079788</v>
      </c>
      <c r="BD191" s="50">
        <f t="shared" si="104"/>
        <v>1275</v>
      </c>
      <c r="BE191" s="50">
        <f t="shared" si="105"/>
        <v>979</v>
      </c>
      <c r="BF191" s="53">
        <f t="shared" si="106"/>
        <v>0</v>
      </c>
      <c r="BG191" s="53">
        <f t="shared" si="134"/>
        <v>0</v>
      </c>
      <c r="BH191" s="53">
        <f t="shared" si="135"/>
        <v>872.17573635208362</v>
      </c>
      <c r="BI191" s="127">
        <f t="shared" si="136"/>
        <v>-197.39209979505577</v>
      </c>
      <c r="BK191" s="44">
        <f t="shared" si="137"/>
        <v>1275</v>
      </c>
      <c r="BL191" s="45">
        <f t="shared" si="141"/>
        <v>979</v>
      </c>
      <c r="BM191" s="119" cm="1">
        <f t="array" ref="BM191">IF(($AG$51=0),0,
_xlfn.IFS(BK191&lt;=$BL$102,($AG$53*(1-(BK191/$BL$102))),AND(BK191&gt;$BL$102,BK191&lt;($AG$55+$BL$102)),0,BK191&gt;=($AG$55+$BL$102),($AG$53*((BK191-($AG$55+$BL$102))/$BL$102)))-$AG$54)</f>
        <v>0</v>
      </c>
      <c r="BN191" s="119" cm="1">
        <f t="array" ref="BN191">IF(($AG$51=0),0,
_xlfn.IFS(BK191&lt;=$BL$102,($BL$103*(1-(BK191/$BL$102))),AND(BK191&gt;$BL$102,BK191&lt;($AG$55+$BL$102)),0,BK191&gt;=($AG$55+$BL$102),($BL$103*((BK191-($AG$55+$BL$102))/$BL$102))))</f>
        <v>0</v>
      </c>
      <c r="BO191" s="120">
        <f t="shared" si="107"/>
        <v>0</v>
      </c>
      <c r="BP191" s="121">
        <f t="shared" si="108"/>
        <v>0</v>
      </c>
      <c r="BQ191" s="121">
        <f t="shared" si="142"/>
        <v>0</v>
      </c>
      <c r="BR191" s="48">
        <f t="shared" si="109"/>
        <v>0</v>
      </c>
      <c r="BS191" s="48">
        <f t="shared" si="110"/>
        <v>979</v>
      </c>
      <c r="BU191" s="122"/>
      <c r="BW191" s="50">
        <f t="shared" si="144"/>
        <v>1275</v>
      </c>
      <c r="BX191" s="50">
        <f t="shared" si="145"/>
        <v>979</v>
      </c>
      <c r="BY191" s="53">
        <f t="shared" si="146"/>
        <v>0</v>
      </c>
      <c r="BZ191" s="53">
        <f t="shared" si="147"/>
        <v>0</v>
      </c>
      <c r="CA191" s="53">
        <f t="shared" si="148"/>
        <v>979</v>
      </c>
      <c r="CC191" s="126">
        <f t="shared" si="138"/>
        <v>872.17573635208362</v>
      </c>
      <c r="CD191" s="127">
        <f t="shared" si="111"/>
        <v>10.834972364084644</v>
      </c>
    </row>
    <row r="192" spans="2:82" x14ac:dyDescent="0.35">
      <c r="B192" s="50" t="b">
        <f t="shared" si="112"/>
        <v>1</v>
      </c>
      <c r="C192" s="21">
        <f t="shared" si="113"/>
        <v>171.04444444444439</v>
      </c>
      <c r="D192" s="13">
        <f t="shared" si="114"/>
        <v>3.6186243307137702</v>
      </c>
      <c r="E192" s="143">
        <f t="shared" si="115"/>
        <v>8.0658834072109187</v>
      </c>
      <c r="F192" s="52">
        <f t="shared" si="116"/>
        <v>3.3819329654788199</v>
      </c>
      <c r="G192" s="50">
        <f t="shared" si="117"/>
        <v>242.77564919043419</v>
      </c>
      <c r="H192" s="50">
        <f t="shared" si="96"/>
        <v>250.84153259764511</v>
      </c>
      <c r="I192" s="16">
        <f t="shared" si="118"/>
        <v>0.41452262607370566</v>
      </c>
      <c r="J192" s="22">
        <f t="shared" si="119"/>
        <v>1.8785877546923593E-3</v>
      </c>
      <c r="K192" s="15">
        <f t="shared" si="143"/>
        <v>352.63263959659673</v>
      </c>
      <c r="L192" s="15">
        <f t="shared" si="97"/>
        <v>238.18482917703258</v>
      </c>
      <c r="M192" s="17">
        <f t="shared" si="120"/>
        <v>1.0531381594047928</v>
      </c>
      <c r="N192" s="15">
        <f t="shared" si="121"/>
        <v>250.84153259764511</v>
      </c>
      <c r="O192" s="17">
        <f t="shared" si="122"/>
        <v>1.0531381594047928</v>
      </c>
      <c r="P192" s="15">
        <f t="shared" si="123"/>
        <v>1</v>
      </c>
      <c r="Q192" s="7">
        <f t="shared" si="124"/>
        <v>4.0751380461345584E-2</v>
      </c>
      <c r="R192" s="17">
        <f t="shared" si="98"/>
        <v>1.0531381594047928</v>
      </c>
      <c r="S192" s="17">
        <f t="shared" si="125"/>
        <v>0.73040227184525963</v>
      </c>
      <c r="T192" s="162">
        <f t="shared" si="126"/>
        <v>70.036735141346512</v>
      </c>
      <c r="U192" s="162">
        <f>ABS($L192-$L193)*IF($B192,FORECAST($L192,
INDEX($Z$119:$AJ$119,MATCH($L192,$Z$105:$AJ$105,1)):INDEX($Z$119:$AJ$119,MATCH($L192,$Z$105:$AJ$105,1)+1),
INDEX($Z$105:$AJ$105,MATCH($L192,$Z$105:$AJ$105,1)):INDEX($Z$105:$AJ$105,MATCH($L192,$Z$105:$AJ$105,1)+1)),0)</f>
        <v>0</v>
      </c>
      <c r="V192" s="162">
        <f>ABS($L192-$L193)*IF($B192,FORECAST($L192,
INDEX($Z$120:$AJ$120,MATCH($L192,$Z$105:$AJ$105,1)):INDEX($Z$120:$AJ$120,MATCH($L192,$Z$105:$AJ$105,1)+1),
INDEX($Z$105:$AJ$105,MATCH($L192,$Z$105:$AJ$105,1)):INDEX($Z$105:$AJ$105,MATCH($L192,$Z$105:$AJ$105,1)+1)),0)</f>
        <v>96.932332617661586</v>
      </c>
      <c r="W192" s="162">
        <f>ABS($L192-$L193)*IF($B192,FORECAST($L192,
INDEX($Z$121:$AJ$121,MATCH($L192,$Z$105:$AJ$105,1)):INDEX($Z$121:$AJ$121,MATCH($L192,$Z$105:$AJ$105,1)+1),
INDEX($Z$105:$AJ$105,MATCH($L192,$Z$105:$AJ$105,1)):INDEX($Z$105:$AJ$105,MATCH($L192,$Z$105:$AJ$105,1)+1)),0)</f>
        <v>99.197011336656033</v>
      </c>
      <c r="X192" s="162">
        <f>ABS($L192-$L193)*IF($B192,FORECAST($L192,
INDEX($Z$122:$AJ$122,MATCH($L192,$Z$105:$AJ$105,1)):INDEX($Z$122:$AJ$122,MATCH($L192,$Z$105:$AJ$105,1)+1),
INDEX($Z$105:$AJ$105,MATCH($L192,$Z$105:$AJ$105,1)):INDEX($Z$105:$AJ$105,MATCH($L192,$Z$105:$AJ$105,1)+1)),0)</f>
        <v>88.137196545251342</v>
      </c>
      <c r="AM192" s="44">
        <f t="shared" si="127"/>
        <v>1290</v>
      </c>
      <c r="AN192" s="45">
        <f t="shared" si="139"/>
        <v>979</v>
      </c>
      <c r="AO192" s="54">
        <f t="shared" si="99"/>
        <v>0</v>
      </c>
      <c r="AP192" s="54">
        <f t="shared" si="100"/>
        <v>0</v>
      </c>
      <c r="AQ192" s="54">
        <f t="shared" si="128"/>
        <v>0</v>
      </c>
      <c r="AR192" s="46">
        <f t="shared" si="101"/>
        <v>0</v>
      </c>
      <c r="AS192" s="47">
        <f t="shared" si="129"/>
        <v>0</v>
      </c>
      <c r="AT192" s="47">
        <f t="shared" si="140"/>
        <v>0</v>
      </c>
      <c r="AU192" s="48">
        <f t="shared" si="130"/>
        <v>0</v>
      </c>
      <c r="AV192" s="48">
        <f t="shared" si="102"/>
        <v>873.75142581633452</v>
      </c>
      <c r="AW192" s="140">
        <f t="shared" si="131"/>
        <v>-197.39209979505577</v>
      </c>
      <c r="AX192" s="53"/>
      <c r="AZ192" s="50">
        <f t="shared" si="132"/>
        <v>250.84153259764511</v>
      </c>
      <c r="BA192" s="50">
        <f t="shared" si="133"/>
        <v>250.84153259764511</v>
      </c>
      <c r="BB192" s="50">
        <f t="shared" si="103"/>
        <v>238.18482917703258</v>
      </c>
      <c r="BD192" s="50">
        <f t="shared" si="104"/>
        <v>1290</v>
      </c>
      <c r="BE192" s="50">
        <f t="shared" si="105"/>
        <v>979</v>
      </c>
      <c r="BF192" s="53">
        <f t="shared" si="106"/>
        <v>0</v>
      </c>
      <c r="BG192" s="53">
        <f t="shared" si="134"/>
        <v>0</v>
      </c>
      <c r="BH192" s="53">
        <f t="shared" si="135"/>
        <v>873.75142581633452</v>
      </c>
      <c r="BI192" s="127">
        <f t="shared" si="136"/>
        <v>-197.39209979505577</v>
      </c>
      <c r="BK192" s="44">
        <f t="shared" si="137"/>
        <v>1290</v>
      </c>
      <c r="BL192" s="45">
        <f t="shared" si="141"/>
        <v>979</v>
      </c>
      <c r="BM192" s="119" cm="1">
        <f t="array" ref="BM192">IF(($AG$51=0),0,
_xlfn.IFS(BK192&lt;=$BL$102,($AG$53*(1-(BK192/$BL$102))),AND(BK192&gt;$BL$102,BK192&lt;($AG$55+$BL$102)),0,BK192&gt;=($AG$55+$BL$102),($AG$53*((BK192-($AG$55+$BL$102))/$BL$102)))-$AG$54)</f>
        <v>0</v>
      </c>
      <c r="BN192" s="119" cm="1">
        <f t="array" ref="BN192">IF(($AG$51=0),0,
_xlfn.IFS(BK192&lt;=$BL$102,($BL$103*(1-(BK192/$BL$102))),AND(BK192&gt;$BL$102,BK192&lt;($AG$55+$BL$102)),0,BK192&gt;=($AG$55+$BL$102),($BL$103*((BK192-($AG$55+$BL$102))/$BL$102))))</f>
        <v>0</v>
      </c>
      <c r="BO192" s="120">
        <f t="shared" si="107"/>
        <v>0</v>
      </c>
      <c r="BP192" s="121">
        <f t="shared" si="108"/>
        <v>0</v>
      </c>
      <c r="BQ192" s="121">
        <f t="shared" si="142"/>
        <v>0</v>
      </c>
      <c r="BR192" s="48">
        <f t="shared" si="109"/>
        <v>0</v>
      </c>
      <c r="BS192" s="48">
        <f t="shared" si="110"/>
        <v>979</v>
      </c>
      <c r="BU192" s="122"/>
      <c r="BW192" s="50">
        <f t="shared" si="144"/>
        <v>1290</v>
      </c>
      <c r="BX192" s="50">
        <f t="shared" si="145"/>
        <v>979</v>
      </c>
      <c r="BY192" s="53">
        <f t="shared" si="146"/>
        <v>0</v>
      </c>
      <c r="BZ192" s="53">
        <f t="shared" si="147"/>
        <v>0</v>
      </c>
      <c r="CA192" s="53">
        <f t="shared" si="148"/>
        <v>979</v>
      </c>
      <c r="CC192" s="126">
        <f t="shared" si="138"/>
        <v>873.75142581633452</v>
      </c>
      <c r="CD192" s="127">
        <f t="shared" si="111"/>
        <v>10.815432994768493</v>
      </c>
    </row>
    <row r="193" spans="2:82" x14ac:dyDescent="0.35">
      <c r="B193" s="50" t="b">
        <f t="shared" si="112"/>
        <v>1</v>
      </c>
      <c r="C193" s="21">
        <f t="shared" si="113"/>
        <v>173.03333333333327</v>
      </c>
      <c r="D193" s="13">
        <f t="shared" si="114"/>
        <v>3.6205029184684627</v>
      </c>
      <c r="E193" s="143">
        <f t="shared" si="115"/>
        <v>5.0854638400801093</v>
      </c>
      <c r="F193" s="52">
        <f t="shared" si="116"/>
        <v>3.4208057581854732</v>
      </c>
      <c r="G193" s="50">
        <f t="shared" si="117"/>
        <v>245.56617389377251</v>
      </c>
      <c r="H193" s="50">
        <f t="shared" si="96"/>
        <v>250.65163773385262</v>
      </c>
      <c r="I193" s="16">
        <f t="shared" si="118"/>
        <v>0.2613526280219084</v>
      </c>
      <c r="J193" s="22">
        <f t="shared" si="119"/>
        <v>1.1844319604675209E-3</v>
      </c>
      <c r="K193" s="15">
        <f t="shared" si="143"/>
        <v>352.21911697052298</v>
      </c>
      <c r="L193" s="15">
        <f t="shared" si="97"/>
        <v>237.90551635969132</v>
      </c>
      <c r="M193" s="17">
        <f t="shared" si="120"/>
        <v>1.0535764011242612</v>
      </c>
      <c r="N193" s="15">
        <f t="shared" si="121"/>
        <v>250.65163773385262</v>
      </c>
      <c r="O193" s="17">
        <f t="shared" si="122"/>
        <v>1.0535764011242612</v>
      </c>
      <c r="P193" s="15">
        <f t="shared" si="123"/>
        <v>1</v>
      </c>
      <c r="Q193" s="7">
        <f t="shared" si="124"/>
        <v>4.0057224667120743E-2</v>
      </c>
      <c r="R193" s="17">
        <f t="shared" si="98"/>
        <v>1.0535764011242612</v>
      </c>
      <c r="S193" s="17">
        <f t="shared" si="125"/>
        <v>0.73070621368295541</v>
      </c>
      <c r="T193" s="162">
        <f t="shared" si="126"/>
        <v>44.067702432048762</v>
      </c>
      <c r="U193" s="162">
        <f>ABS($L193-$L194)*IF($B193,FORECAST($L193,
INDEX($Z$119:$AJ$119,MATCH($L193,$Z$105:$AJ$105,1)):INDEX($Z$119:$AJ$119,MATCH($L193,$Z$105:$AJ$105,1)+1),
INDEX($Z$105:$AJ$105,MATCH($L193,$Z$105:$AJ$105,1)):INDEX($Z$105:$AJ$105,MATCH($L193,$Z$105:$AJ$105,1)+1)),0)</f>
        <v>0</v>
      </c>
      <c r="V193" s="162">
        <f>ABS($L193-$L194)*IF($B193,FORECAST($L193,
INDEX($Z$120:$AJ$120,MATCH($L193,$Z$105:$AJ$105,1)):INDEX($Z$120:$AJ$120,MATCH($L193,$Z$105:$AJ$105,1)+1),
INDEX($Z$105:$AJ$105,MATCH($L193,$Z$105:$AJ$105,1)):INDEX($Z$105:$AJ$105,MATCH($L193,$Z$105:$AJ$105,1)+1)),0)</f>
        <v>61.03381245696945</v>
      </c>
      <c r="W193" s="162">
        <f>ABS($L193-$L194)*IF($B193,FORECAST($L193,
INDEX($Z$121:$AJ$121,MATCH($L193,$Z$105:$AJ$105,1)):INDEX($Z$121:$AJ$121,MATCH($L193,$Z$105:$AJ$105,1)+1),
INDEX($Z$105:$AJ$105,MATCH($L193,$Z$105:$AJ$105,1)):INDEX($Z$105:$AJ$105,MATCH($L193,$Z$105:$AJ$105,1)+1)),0)</f>
        <v>62.457497618684457</v>
      </c>
      <c r="X193" s="162">
        <f>ABS($L193-$L194)*IF($B193,FORECAST($L193,
INDEX($Z$122:$AJ$122,MATCH($L193,$Z$105:$AJ$105,1)):INDEX($Z$122:$AJ$122,MATCH($L193,$Z$105:$AJ$105,1)+1),
INDEX($Z$105:$AJ$105,MATCH($L193,$Z$105:$AJ$105,1)):INDEX($Z$105:$AJ$105,MATCH($L193,$Z$105:$AJ$105,1)+1)),0)</f>
        <v>55.498507338175159</v>
      </c>
      <c r="AM193" s="44">
        <f t="shared" si="127"/>
        <v>1305</v>
      </c>
      <c r="AN193" s="45">
        <f t="shared" si="139"/>
        <v>979</v>
      </c>
      <c r="AO193" s="54">
        <f t="shared" si="99"/>
        <v>0</v>
      </c>
      <c r="AP193" s="54">
        <f t="shared" si="100"/>
        <v>0</v>
      </c>
      <c r="AQ193" s="54">
        <f t="shared" si="128"/>
        <v>0</v>
      </c>
      <c r="AR193" s="46">
        <f t="shared" si="101"/>
        <v>0</v>
      </c>
      <c r="AS193" s="47">
        <f t="shared" si="129"/>
        <v>0</v>
      </c>
      <c r="AT193" s="47">
        <f t="shared" si="140"/>
        <v>0</v>
      </c>
      <c r="AU193" s="48">
        <f t="shared" si="130"/>
        <v>0</v>
      </c>
      <c r="AV193" s="48">
        <f t="shared" si="102"/>
        <v>873.75142581633452</v>
      </c>
      <c r="AW193" s="140">
        <f t="shared" si="131"/>
        <v>-197.39209979505577</v>
      </c>
      <c r="AX193" s="53"/>
      <c r="AZ193" s="50">
        <f t="shared" si="132"/>
        <v>250.65163773385262</v>
      </c>
      <c r="BA193" s="50">
        <f t="shared" si="133"/>
        <v>250.65163773385262</v>
      </c>
      <c r="BB193" s="50">
        <f t="shared" si="103"/>
        <v>237.90551635969132</v>
      </c>
      <c r="BD193" s="50">
        <f t="shared" si="104"/>
        <v>1305</v>
      </c>
      <c r="BE193" s="50">
        <f t="shared" si="105"/>
        <v>979</v>
      </c>
      <c r="BF193" s="53">
        <f t="shared" si="106"/>
        <v>0</v>
      </c>
      <c r="BG193" s="53">
        <f t="shared" si="134"/>
        <v>0</v>
      </c>
      <c r="BH193" s="53">
        <f t="shared" si="135"/>
        <v>873.75142581633452</v>
      </c>
      <c r="BI193" s="127">
        <f t="shared" si="136"/>
        <v>-197.39209979505577</v>
      </c>
      <c r="BK193" s="44">
        <f t="shared" si="137"/>
        <v>1305</v>
      </c>
      <c r="BL193" s="45">
        <f t="shared" si="141"/>
        <v>979</v>
      </c>
      <c r="BM193" s="119" cm="1">
        <f t="array" ref="BM193">IF(($AG$51=0),0,
_xlfn.IFS(BK193&lt;=$BL$102,($AG$53*(1-(BK193/$BL$102))),AND(BK193&gt;$BL$102,BK193&lt;($AG$55+$BL$102)),0,BK193&gt;=($AG$55+$BL$102),($AG$53*((BK193-($AG$55+$BL$102))/$BL$102)))-$AG$54)</f>
        <v>0</v>
      </c>
      <c r="BN193" s="119" cm="1">
        <f t="array" ref="BN193">IF(($AG$51=0),0,
_xlfn.IFS(BK193&lt;=$BL$102,($BL$103*(1-(BK193/$BL$102))),AND(BK193&gt;$BL$102,BK193&lt;($AG$55+$BL$102)),0,BK193&gt;=($AG$55+$BL$102),($BL$103*((BK193-($AG$55+$BL$102))/$BL$102))))</f>
        <v>0</v>
      </c>
      <c r="BO193" s="120">
        <f t="shared" si="107"/>
        <v>0</v>
      </c>
      <c r="BP193" s="121">
        <f t="shared" si="108"/>
        <v>0</v>
      </c>
      <c r="BQ193" s="121">
        <f t="shared" si="142"/>
        <v>0</v>
      </c>
      <c r="BR193" s="48">
        <f t="shared" si="109"/>
        <v>0</v>
      </c>
      <c r="BS193" s="48">
        <f t="shared" si="110"/>
        <v>979</v>
      </c>
      <c r="BU193" s="122"/>
      <c r="BW193" s="50">
        <f t="shared" si="144"/>
        <v>1305</v>
      </c>
      <c r="BX193" s="50">
        <f t="shared" si="145"/>
        <v>979</v>
      </c>
      <c r="BY193" s="53">
        <f t="shared" si="146"/>
        <v>0</v>
      </c>
      <c r="BZ193" s="53">
        <f t="shared" si="147"/>
        <v>0</v>
      </c>
      <c r="CA193" s="53">
        <f t="shared" si="148"/>
        <v>979</v>
      </c>
      <c r="CC193" s="126">
        <f t="shared" si="138"/>
        <v>873.75142581633452</v>
      </c>
      <c r="CD193" s="127">
        <f t="shared" si="111"/>
        <v>10.815432994768493</v>
      </c>
    </row>
    <row r="194" spans="2:82" x14ac:dyDescent="0.35">
      <c r="B194" s="50" t="b">
        <f t="shared" si="112"/>
        <v>1</v>
      </c>
      <c r="C194" s="21">
        <f t="shared" si="113"/>
        <v>175.02222222222215</v>
      </c>
      <c r="D194" s="13">
        <f t="shared" si="114"/>
        <v>3.6216873504289304</v>
      </c>
      <c r="E194" s="143">
        <f t="shared" si="115"/>
        <v>2.1752618246650002</v>
      </c>
      <c r="F194" s="52">
        <f t="shared" si="116"/>
        <v>3.4596785508921264</v>
      </c>
      <c r="G194" s="50">
        <f t="shared" si="117"/>
        <v>248.35669859711086</v>
      </c>
      <c r="H194" s="50">
        <f t="shared" si="96"/>
        <v>250.53196042177586</v>
      </c>
      <c r="I194" s="16">
        <f t="shared" si="118"/>
        <v>0.11179125688227763</v>
      </c>
      <c r="J194" s="22">
        <f t="shared" si="119"/>
        <v>5.0663021280622012E-4</v>
      </c>
      <c r="K194" s="15">
        <f t="shared" si="143"/>
        <v>351.95876434250107</v>
      </c>
      <c r="L194" s="15">
        <f t="shared" si="97"/>
        <v>237.72966183215203</v>
      </c>
      <c r="M194" s="17">
        <f t="shared" si="120"/>
        <v>1.0538523400528068</v>
      </c>
      <c r="N194" s="15">
        <f t="shared" si="121"/>
        <v>250.53196042177586</v>
      </c>
      <c r="O194" s="17">
        <f t="shared" si="122"/>
        <v>1.0538523400528068</v>
      </c>
      <c r="P194" s="15">
        <f t="shared" si="123"/>
        <v>1</v>
      </c>
      <c r="Q194" s="7">
        <f t="shared" si="124"/>
        <v>3.9379422919459443E-2</v>
      </c>
      <c r="R194" s="17">
        <f t="shared" si="98"/>
        <v>1.0538523400528068</v>
      </c>
      <c r="S194" s="17">
        <f t="shared" si="125"/>
        <v>0.73089759068178539</v>
      </c>
      <c r="T194" s="162">
        <f t="shared" si="126"/>
        <v>18.74632086806885</v>
      </c>
      <c r="U194" s="162">
        <f>ABS($L194-$L195)*IF($B194,FORECAST($L194,
INDEX($Z$119:$AJ$119,MATCH($L194,$Z$105:$AJ$105,1)):INDEX($Z$119:$AJ$119,MATCH($L194,$Z$105:$AJ$105,1)+1),
INDEX($Z$105:$AJ$105,MATCH($L194,$Z$105:$AJ$105,1)):INDEX($Z$105:$AJ$105,MATCH($L194,$Z$105:$AJ$105,1)+1)),0)</f>
        <v>0</v>
      </c>
      <c r="V194" s="162">
        <f>ABS($L194-$L195)*IF($B194,FORECAST($L194,
INDEX($Z$120:$AJ$120,MATCH($L194,$Z$105:$AJ$105,1)):INDEX($Z$120:$AJ$120,MATCH($L194,$Z$105:$AJ$105,1)+1),
INDEX($Z$105:$AJ$105,MATCH($L194,$Z$105:$AJ$105,1)):INDEX($Z$105:$AJ$105,MATCH($L194,$Z$105:$AJ$105,1)+1)),0)</f>
        <v>25.973989874539871</v>
      </c>
      <c r="W194" s="162">
        <f>ABS($L194-$L195)*IF($B194,FORECAST($L194,
INDEX($Z$121:$AJ$121,MATCH($L194,$Z$105:$AJ$105,1)):INDEX($Z$121:$AJ$121,MATCH($L194,$Z$105:$AJ$105,1)+1),
INDEX($Z$105:$AJ$105,MATCH($L194,$Z$105:$AJ$105,1)):INDEX($Z$105:$AJ$105,MATCH($L194,$Z$105:$AJ$105,1)+1)),0)</f>
        <v>26.579253229728813</v>
      </c>
      <c r="X194" s="162">
        <f>ABS($L194-$L195)*IF($B194,FORECAST($L194,
INDEX($Z$122:$AJ$122,MATCH($L194,$Z$105:$AJ$105,1)):INDEX($Z$122:$AJ$122,MATCH($L194,$Z$105:$AJ$105,1)+1),
INDEX($Z$105:$AJ$105,MATCH($L194,$Z$105:$AJ$105,1)):INDEX($Z$105:$AJ$105,MATCH($L194,$Z$105:$AJ$105,1)+1)),0)</f>
        <v>23.619038194660476</v>
      </c>
      <c r="AM194" s="44">
        <f t="shared" si="127"/>
        <v>1320</v>
      </c>
      <c r="AN194" s="45">
        <f t="shared" si="139"/>
        <v>979</v>
      </c>
      <c r="AO194" s="54">
        <f t="shared" si="99"/>
        <v>0</v>
      </c>
      <c r="AP194" s="54">
        <f t="shared" si="100"/>
        <v>0</v>
      </c>
      <c r="AQ194" s="54">
        <f t="shared" si="128"/>
        <v>0</v>
      </c>
      <c r="AR194" s="46">
        <f t="shared" si="101"/>
        <v>0</v>
      </c>
      <c r="AS194" s="47">
        <f t="shared" si="129"/>
        <v>0</v>
      </c>
      <c r="AT194" s="47">
        <f t="shared" si="140"/>
        <v>0</v>
      </c>
      <c r="AU194" s="48">
        <f t="shared" si="130"/>
        <v>0</v>
      </c>
      <c r="AV194" s="48">
        <f t="shared" si="102"/>
        <v>873.75142581633452</v>
      </c>
      <c r="AW194" s="140">
        <f t="shared" si="131"/>
        <v>-197.39209979505577</v>
      </c>
      <c r="AX194" s="53"/>
      <c r="AZ194" s="50">
        <f t="shared" si="132"/>
        <v>250.53196042177586</v>
      </c>
      <c r="BA194" s="50">
        <f t="shared" si="133"/>
        <v>250.53196042177586</v>
      </c>
      <c r="BB194" s="50">
        <f t="shared" si="103"/>
        <v>237.72966183215203</v>
      </c>
      <c r="BD194" s="50">
        <f t="shared" si="104"/>
        <v>1320</v>
      </c>
      <c r="BE194" s="50">
        <f t="shared" si="105"/>
        <v>979</v>
      </c>
      <c r="BF194" s="53">
        <f t="shared" si="106"/>
        <v>0</v>
      </c>
      <c r="BG194" s="53">
        <f t="shared" si="134"/>
        <v>0</v>
      </c>
      <c r="BH194" s="53">
        <f t="shared" si="135"/>
        <v>873.75142581633452</v>
      </c>
      <c r="BI194" s="127">
        <f t="shared" si="136"/>
        <v>-197.39209979505577</v>
      </c>
      <c r="BK194" s="44">
        <f t="shared" si="137"/>
        <v>1320</v>
      </c>
      <c r="BL194" s="45">
        <f t="shared" si="141"/>
        <v>979</v>
      </c>
      <c r="BM194" s="119" cm="1">
        <f t="array" ref="BM194">IF(($AG$51=0),0,
_xlfn.IFS(BK194&lt;=$BL$102,($AG$53*(1-(BK194/$BL$102))),AND(BK194&gt;$BL$102,BK194&lt;($AG$55+$BL$102)),0,BK194&gt;=($AG$55+$BL$102),($AG$53*((BK194-($AG$55+$BL$102))/$BL$102)))-$AG$54)</f>
        <v>0</v>
      </c>
      <c r="BN194" s="119" cm="1">
        <f t="array" ref="BN194">IF(($AG$51=0),0,
_xlfn.IFS(BK194&lt;=$BL$102,($BL$103*(1-(BK194/$BL$102))),AND(BK194&gt;$BL$102,BK194&lt;($AG$55+$BL$102)),0,BK194&gt;=($AG$55+$BL$102),($BL$103*((BK194-($AG$55+$BL$102))/$BL$102))))</f>
        <v>0</v>
      </c>
      <c r="BO194" s="120">
        <f t="shared" si="107"/>
        <v>0</v>
      </c>
      <c r="BP194" s="121">
        <f t="shared" si="108"/>
        <v>0</v>
      </c>
      <c r="BQ194" s="121">
        <f t="shared" si="142"/>
        <v>0</v>
      </c>
      <c r="BR194" s="48">
        <f t="shared" si="109"/>
        <v>0</v>
      </c>
      <c r="BS194" s="48">
        <f t="shared" si="110"/>
        <v>979</v>
      </c>
      <c r="BU194" s="122"/>
      <c r="BW194" s="50">
        <f t="shared" si="144"/>
        <v>1320</v>
      </c>
      <c r="BX194" s="50">
        <f t="shared" si="145"/>
        <v>979</v>
      </c>
      <c r="BY194" s="53">
        <f t="shared" si="146"/>
        <v>0</v>
      </c>
      <c r="BZ194" s="53">
        <f t="shared" si="147"/>
        <v>0</v>
      </c>
      <c r="CA194" s="53">
        <f t="shared" si="148"/>
        <v>979</v>
      </c>
      <c r="CC194" s="126">
        <f t="shared" si="138"/>
        <v>873.75142581633452</v>
      </c>
      <c r="CD194" s="127">
        <f t="shared" si="111"/>
        <v>10.815432994768493</v>
      </c>
    </row>
    <row r="195" spans="2:82" x14ac:dyDescent="0.35">
      <c r="B195" s="50" t="b">
        <f t="shared" si="112"/>
        <v>1</v>
      </c>
      <c r="C195" s="21">
        <f t="shared" si="113"/>
        <v>177.01111111111103</v>
      </c>
      <c r="D195" s="13">
        <f t="shared" si="114"/>
        <v>3.6221939806417365</v>
      </c>
      <c r="E195" s="143">
        <f t="shared" si="115"/>
        <v>0</v>
      </c>
      <c r="F195" s="52">
        <f t="shared" si="116"/>
        <v>3.4985513435987796</v>
      </c>
      <c r="G195" s="50">
        <f t="shared" si="117"/>
        <v>250.4810044309811</v>
      </c>
      <c r="H195" s="50">
        <f t="shared" si="96"/>
        <v>250.4810044309811</v>
      </c>
      <c r="I195" s="16">
        <f t="shared" si="118"/>
        <v>0</v>
      </c>
      <c r="J195" s="22">
        <f t="shared" si="119"/>
        <v>0</v>
      </c>
      <c r="K195" s="15">
        <f t="shared" si="143"/>
        <v>351.84797308561878</v>
      </c>
      <c r="L195" s="15">
        <f t="shared" si="97"/>
        <v>237.65482815644634</v>
      </c>
      <c r="M195" s="17">
        <f t="shared" si="120"/>
        <v>1.0539697694089825</v>
      </c>
      <c r="N195" s="15">
        <f t="shared" si="121"/>
        <v>250.4810044309811</v>
      </c>
      <c r="O195" s="17">
        <f t="shared" si="122"/>
        <v>1.0539697694089825</v>
      </c>
      <c r="P195" s="15">
        <f t="shared" si="123"/>
        <v>1</v>
      </c>
      <c r="Q195" s="7">
        <f t="shared" si="124"/>
        <v>3.8872792706653225E-2</v>
      </c>
      <c r="R195" s="17">
        <f t="shared" si="98"/>
        <v>1.0539697694089825</v>
      </c>
      <c r="S195" s="17">
        <f t="shared" si="125"/>
        <v>0.73097903362235883</v>
      </c>
      <c r="T195" s="162">
        <f t="shared" si="126"/>
        <v>16.91712264931548</v>
      </c>
      <c r="U195" s="162">
        <f>ABS($L195-$L196)*IF($B195,FORECAST($L195,
INDEX($Z$119:$AJ$119,MATCH($L195,$Z$105:$AJ$105,1)):INDEX($Z$119:$AJ$119,MATCH($L195,$Z$105:$AJ$105,1)+1),
INDEX($Z$105:$AJ$105,MATCH($L195,$Z$105:$AJ$105,1)):INDEX($Z$105:$AJ$105,MATCH($L195,$Z$105:$AJ$105,1)+1)),0)</f>
        <v>0</v>
      </c>
      <c r="V195" s="162">
        <f>ABS($L195-$L196)*IF($B195,FORECAST($L195,
INDEX($Z$120:$AJ$120,MATCH($L195,$Z$105:$AJ$105,1)):INDEX($Z$120:$AJ$120,MATCH($L195,$Z$105:$AJ$105,1)+1),
INDEX($Z$105:$AJ$105,MATCH($L195,$Z$105:$AJ$105,1)):INDEX($Z$105:$AJ$105,MATCH($L195,$Z$105:$AJ$105,1)+1)),0)</f>
        <v>23.444645188351409</v>
      </c>
      <c r="W195" s="162">
        <f>ABS($L195-$L196)*IF($B195,FORECAST($L195,
INDEX($Z$121:$AJ$121,MATCH($L195,$Z$105:$AJ$105,1)):INDEX($Z$121:$AJ$121,MATCH($L195,$Z$105:$AJ$105,1)+1),
INDEX($Z$105:$AJ$105,MATCH($L195,$Z$105:$AJ$105,1)):INDEX($Z$105:$AJ$105,MATCH($L195,$Z$105:$AJ$105,1)+1)),0)</f>
        <v>23.990733624476924</v>
      </c>
      <c r="X195" s="162">
        <f>ABS($L195-$L196)*IF($B195,FORECAST($L195,
INDEX($Z$122:$AJ$122,MATCH($L195,$Z$105:$AJ$105,1)):INDEX($Z$122:$AJ$122,MATCH($L195,$Z$105:$AJ$105,1)+1),
INDEX($Z$105:$AJ$105,MATCH($L195,$Z$105:$AJ$105,1)):INDEX($Z$105:$AJ$105,MATCH($L195,$Z$105:$AJ$105,1)+1)),0)</f>
        <v>21.31928453965422</v>
      </c>
      <c r="AM195" s="44">
        <f t="shared" si="127"/>
        <v>1335</v>
      </c>
      <c r="AN195" s="45">
        <f t="shared" si="139"/>
        <v>979</v>
      </c>
      <c r="AO195" s="54">
        <f t="shared" si="99"/>
        <v>0</v>
      </c>
      <c r="AP195" s="54">
        <f t="shared" si="100"/>
        <v>0</v>
      </c>
      <c r="AQ195" s="54">
        <f t="shared" si="128"/>
        <v>0</v>
      </c>
      <c r="AR195" s="46">
        <f t="shared" si="101"/>
        <v>0</v>
      </c>
      <c r="AS195" s="47">
        <f t="shared" si="129"/>
        <v>0</v>
      </c>
      <c r="AT195" s="47">
        <f t="shared" si="140"/>
        <v>0</v>
      </c>
      <c r="AU195" s="48">
        <f t="shared" si="130"/>
        <v>0</v>
      </c>
      <c r="AV195" s="48">
        <f t="shared" si="102"/>
        <v>873.75142581633452</v>
      </c>
      <c r="AW195" s="140">
        <f t="shared" si="131"/>
        <v>-197.39209979505577</v>
      </c>
      <c r="AX195" s="53"/>
      <c r="AZ195" s="50">
        <f t="shared" si="132"/>
        <v>250.4810044309811</v>
      </c>
      <c r="BA195" s="50">
        <f t="shared" si="133"/>
        <v>250.4810044309811</v>
      </c>
      <c r="BB195" s="50">
        <f t="shared" si="103"/>
        <v>237.65482815644634</v>
      </c>
      <c r="BD195" s="50">
        <f t="shared" si="104"/>
        <v>1335</v>
      </c>
      <c r="BE195" s="50">
        <f t="shared" si="105"/>
        <v>979</v>
      </c>
      <c r="BF195" s="53">
        <f t="shared" si="106"/>
        <v>0</v>
      </c>
      <c r="BG195" s="53">
        <f t="shared" si="134"/>
        <v>0</v>
      </c>
      <c r="BH195" s="53">
        <f t="shared" si="135"/>
        <v>873.75142581633452</v>
      </c>
      <c r="BI195" s="127">
        <f t="shared" si="136"/>
        <v>-197.39209979505577</v>
      </c>
      <c r="BK195" s="44">
        <f t="shared" si="137"/>
        <v>1335</v>
      </c>
      <c r="BL195" s="45">
        <f t="shared" si="141"/>
        <v>979</v>
      </c>
      <c r="BM195" s="119" cm="1">
        <f t="array" ref="BM195">IF(($AG$51=0),0,
_xlfn.IFS(BK195&lt;=$BL$102,($AG$53*(1-(BK195/$BL$102))),AND(BK195&gt;$BL$102,BK195&lt;($AG$55+$BL$102)),0,BK195&gt;=($AG$55+$BL$102),($AG$53*((BK195-($AG$55+$BL$102))/$BL$102)))-$AG$54)</f>
        <v>0</v>
      </c>
      <c r="BN195" s="119" cm="1">
        <f t="array" ref="BN195">IF(($AG$51=0),0,
_xlfn.IFS(BK195&lt;=$BL$102,($BL$103*(1-(BK195/$BL$102))),AND(BK195&gt;$BL$102,BK195&lt;($AG$55+$BL$102)),0,BK195&gt;=($AG$55+$BL$102),($BL$103*((BK195-($AG$55+$BL$102))/$BL$102))))</f>
        <v>0</v>
      </c>
      <c r="BO195" s="120">
        <f t="shared" si="107"/>
        <v>0</v>
      </c>
      <c r="BP195" s="121">
        <f t="shared" si="108"/>
        <v>0</v>
      </c>
      <c r="BQ195" s="121">
        <f t="shared" si="142"/>
        <v>0</v>
      </c>
      <c r="BR195" s="48">
        <f t="shared" si="109"/>
        <v>0</v>
      </c>
      <c r="BS195" s="48">
        <f t="shared" si="110"/>
        <v>979</v>
      </c>
      <c r="BU195" s="122"/>
      <c r="BW195" s="50">
        <f t="shared" si="144"/>
        <v>1335</v>
      </c>
      <c r="BX195" s="50">
        <f t="shared" si="145"/>
        <v>979</v>
      </c>
      <c r="BY195" s="53">
        <f t="shared" si="146"/>
        <v>0</v>
      </c>
      <c r="BZ195" s="53">
        <f t="shared" si="147"/>
        <v>0</v>
      </c>
      <c r="CA195" s="53">
        <f t="shared" si="148"/>
        <v>979</v>
      </c>
      <c r="CC195" s="126">
        <f t="shared" si="138"/>
        <v>873.75142581633452</v>
      </c>
      <c r="CD195" s="127">
        <f t="shared" si="111"/>
        <v>10.815432994768493</v>
      </c>
    </row>
    <row r="196" spans="2:82" x14ac:dyDescent="0.35">
      <c r="B196" s="50" t="b">
        <f t="shared" si="112"/>
        <v>1</v>
      </c>
      <c r="C196" s="21">
        <f t="shared" si="113"/>
        <v>178.99999999999991</v>
      </c>
      <c r="D196" s="13">
        <f t="shared" si="114"/>
        <v>3.6221939806417365</v>
      </c>
      <c r="E196" s="143">
        <f t="shared" si="115"/>
        <v>0</v>
      </c>
      <c r="F196" s="52">
        <f t="shared" si="116"/>
        <v>3.5374241363054328</v>
      </c>
      <c r="G196" s="50">
        <f t="shared" si="117"/>
        <v>250.43499721499643</v>
      </c>
      <c r="H196" s="50">
        <f t="shared" si="96"/>
        <v>250.43499721499643</v>
      </c>
      <c r="I196" s="16">
        <f t="shared" si="118"/>
        <v>0</v>
      </c>
      <c r="J196" s="22">
        <f>I196*$D$74*1000/$D$75</f>
        <v>0</v>
      </c>
      <c r="K196" s="15">
        <f>(K195-I195)-0.1</f>
        <v>351.74797308561875</v>
      </c>
      <c r="L196" s="15">
        <f t="shared" si="97"/>
        <v>237.5872834080505</v>
      </c>
      <c r="M196" s="17">
        <f t="shared" si="120"/>
        <v>1.0540757637473395</v>
      </c>
      <c r="N196" s="15">
        <f t="shared" si="121"/>
        <v>250.43499721499643</v>
      </c>
      <c r="O196" s="17">
        <f t="shared" si="122"/>
        <v>1.0540757637473395</v>
      </c>
      <c r="P196" s="15">
        <f t="shared" si="123"/>
        <v>1</v>
      </c>
      <c r="Q196" s="7">
        <f t="shared" si="124"/>
        <v>3.8872792706653225E-2</v>
      </c>
      <c r="R196" s="17">
        <f t="shared" si="98"/>
        <v>1.0540757637473395</v>
      </c>
      <c r="S196" s="17">
        <f t="shared" si="125"/>
        <v>0.73105254582476775</v>
      </c>
      <c r="U196" s="127"/>
      <c r="V196" s="127"/>
      <c r="W196" s="127"/>
      <c r="X196" s="127"/>
      <c r="AM196" s="44">
        <f t="shared" si="127"/>
        <v>1350</v>
      </c>
      <c r="AN196" s="45">
        <f t="shared" si="139"/>
        <v>979</v>
      </c>
      <c r="AO196" s="54">
        <f t="shared" si="99"/>
        <v>0</v>
      </c>
      <c r="AP196" s="54">
        <f t="shared" si="100"/>
        <v>0</v>
      </c>
      <c r="AQ196" s="54">
        <f t="shared" si="128"/>
        <v>0</v>
      </c>
      <c r="AR196" s="46">
        <f t="shared" si="101"/>
        <v>0</v>
      </c>
      <c r="AS196" s="47">
        <f t="shared" si="129"/>
        <v>0</v>
      </c>
      <c r="AT196" s="47">
        <f t="shared" si="140"/>
        <v>0</v>
      </c>
      <c r="AU196" s="48">
        <f t="shared" si="130"/>
        <v>0</v>
      </c>
      <c r="AV196" s="48">
        <f t="shared" si="102"/>
        <v>873.75142581633452</v>
      </c>
      <c r="AW196" s="140">
        <f t="shared" si="131"/>
        <v>-197.39209979505577</v>
      </c>
      <c r="AX196" s="53"/>
      <c r="AZ196" s="50">
        <f t="shared" si="132"/>
        <v>250.43499721499643</v>
      </c>
      <c r="BA196" s="50">
        <f t="shared" si="133"/>
        <v>250.43499721499643</v>
      </c>
      <c r="BB196" s="50">
        <f t="shared" si="103"/>
        <v>237.5872834080505</v>
      </c>
      <c r="BD196" s="50">
        <f t="shared" si="104"/>
        <v>1350</v>
      </c>
      <c r="BE196" s="50">
        <f t="shared" si="105"/>
        <v>979</v>
      </c>
      <c r="BF196" s="53">
        <f t="shared" si="106"/>
        <v>0</v>
      </c>
      <c r="BG196" s="53">
        <f t="shared" si="134"/>
        <v>0</v>
      </c>
      <c r="BH196" s="53">
        <f t="shared" si="135"/>
        <v>873.75142581633452</v>
      </c>
      <c r="BI196" s="127">
        <f t="shared" si="136"/>
        <v>-197.39209979505577</v>
      </c>
      <c r="BK196" s="44">
        <f t="shared" si="137"/>
        <v>1350</v>
      </c>
      <c r="BL196" s="45">
        <f t="shared" si="141"/>
        <v>979</v>
      </c>
      <c r="BM196" s="119" cm="1">
        <f t="array" ref="BM196">IF(($AG$51=0),0,
_xlfn.IFS(BK196&lt;=$BL$102,($AG$53*(1-(BK196/$BL$102))),AND(BK196&gt;$BL$102,BK196&lt;($AG$55+$BL$102)),0,BK196&gt;=($AG$55+$BL$102),($AG$53*((BK196-($AG$55+$BL$102))/$BL$102)))-$AG$54)</f>
        <v>0</v>
      </c>
      <c r="BN196" s="119" cm="1">
        <f t="array" ref="BN196">IF(($AG$51=0),0,
_xlfn.IFS(BK196&lt;=$BL$102,($BL$103*(1-(BK196/$BL$102))),AND(BK196&gt;$BL$102,BK196&lt;($AG$55+$BL$102)),0,BK196&gt;=($AG$55+$BL$102),($BL$103*((BK196-($AG$55+$BL$102))/$BL$102))))</f>
        <v>0</v>
      </c>
      <c r="BO196" s="120">
        <f t="shared" si="107"/>
        <v>0</v>
      </c>
      <c r="BP196" s="121">
        <f t="shared" si="108"/>
        <v>0</v>
      </c>
      <c r="BQ196" s="121">
        <f t="shared" si="142"/>
        <v>0</v>
      </c>
      <c r="BR196" s="48">
        <f t="shared" si="109"/>
        <v>0</v>
      </c>
      <c r="BS196" s="48">
        <f t="shared" si="110"/>
        <v>979</v>
      </c>
      <c r="BU196" s="122"/>
      <c r="BW196" s="50">
        <f t="shared" si="144"/>
        <v>1350</v>
      </c>
      <c r="BX196" s="50">
        <f t="shared" si="145"/>
        <v>979</v>
      </c>
      <c r="BY196" s="53">
        <f t="shared" si="146"/>
        <v>0</v>
      </c>
      <c r="BZ196" s="53">
        <f t="shared" si="147"/>
        <v>0</v>
      </c>
      <c r="CA196" s="53">
        <f t="shared" si="148"/>
        <v>979</v>
      </c>
      <c r="CC196" s="126">
        <f t="shared" si="138"/>
        <v>873.75142581633452</v>
      </c>
      <c r="CD196" s="127">
        <f t="shared" si="111"/>
        <v>10.815432994768493</v>
      </c>
    </row>
    <row r="197" spans="2:82" x14ac:dyDescent="0.35">
      <c r="S197" s="19"/>
      <c r="T197" s="135">
        <f>SUM(T106:T196)</f>
        <v>84513.60552562699</v>
      </c>
      <c r="U197" s="135">
        <f>SUM(U106:U196)</f>
        <v>0</v>
      </c>
      <c r="V197" s="135">
        <f>SUM(V106:V196)</f>
        <v>112560.27615946902</v>
      </c>
      <c r="W197" s="135">
        <f>SUM(W106:W196)</f>
        <v>122205.42884377332</v>
      </c>
      <c r="X197" s="135">
        <f>SUM(X106:X196)</f>
        <v>100670.71653343622</v>
      </c>
      <c r="Y197" s="37" t="s">
        <v>294</v>
      </c>
      <c r="AM197" s="44">
        <f t="shared" si="127"/>
        <v>1365</v>
      </c>
      <c r="AN197" s="45">
        <f t="shared" si="139"/>
        <v>979</v>
      </c>
      <c r="AO197" s="54">
        <f t="shared" si="99"/>
        <v>0</v>
      </c>
      <c r="AP197" s="54">
        <f t="shared" si="100"/>
        <v>0</v>
      </c>
      <c r="AQ197" s="54">
        <f t="shared" si="128"/>
        <v>0</v>
      </c>
      <c r="AR197" s="46">
        <f t="shared" si="101"/>
        <v>0</v>
      </c>
      <c r="AS197" s="47">
        <f t="shared" si="129"/>
        <v>0</v>
      </c>
      <c r="AT197" s="47">
        <f t="shared" si="140"/>
        <v>0</v>
      </c>
      <c r="AU197" s="48">
        <f t="shared" si="130"/>
        <v>0</v>
      </c>
      <c r="AV197" s="48">
        <f t="shared" si="102"/>
        <v>873.75142581633452</v>
      </c>
      <c r="AW197" s="140">
        <f t="shared" si="131"/>
        <v>-197.39209979505577</v>
      </c>
      <c r="AX197" s="53"/>
      <c r="BB197" s="50"/>
      <c r="BD197" s="50">
        <f t="shared" si="104"/>
        <v>1365</v>
      </c>
      <c r="BE197" s="50">
        <f t="shared" si="105"/>
        <v>979</v>
      </c>
      <c r="BF197" s="53">
        <f t="shared" si="106"/>
        <v>0</v>
      </c>
      <c r="BG197" s="53">
        <f t="shared" si="134"/>
        <v>0</v>
      </c>
      <c r="BH197" s="53">
        <f t="shared" si="135"/>
        <v>873.75142581633452</v>
      </c>
      <c r="BI197" s="127">
        <f t="shared" si="136"/>
        <v>-197.39209979505577</v>
      </c>
      <c r="BK197" s="44">
        <f t="shared" si="137"/>
        <v>1365</v>
      </c>
      <c r="BL197" s="45">
        <f t="shared" si="141"/>
        <v>979</v>
      </c>
      <c r="BM197" s="119" cm="1">
        <f t="array" ref="BM197">IF(($AG$51=0),0,
_xlfn.IFS(BK197&lt;=$BL$102,($AG$53*(1-(BK197/$BL$102))),AND(BK197&gt;$BL$102,BK197&lt;($AG$55+$BL$102)),0,BK197&gt;=($AG$55+$BL$102),($AG$53*((BK197-($AG$55+$BL$102))/$BL$102)))-$AG$54)</f>
        <v>0</v>
      </c>
      <c r="BN197" s="119" cm="1">
        <f t="array" ref="BN197">IF(($AG$51=0),0,
_xlfn.IFS(BK197&lt;=$BL$102,($BL$103*(1-(BK197/$BL$102))),AND(BK197&gt;$BL$102,BK197&lt;($AG$55+$BL$102)),0,BK197&gt;=($AG$55+$BL$102),($BL$103*((BK197-($AG$55+$BL$102))/$BL$102))))</f>
        <v>0</v>
      </c>
      <c r="BO197" s="120">
        <f t="shared" si="107"/>
        <v>0</v>
      </c>
      <c r="BP197" s="121">
        <f t="shared" si="108"/>
        <v>0</v>
      </c>
      <c r="BQ197" s="121">
        <f t="shared" si="142"/>
        <v>0</v>
      </c>
      <c r="BR197" s="48">
        <f t="shared" si="109"/>
        <v>0</v>
      </c>
      <c r="BS197" s="48">
        <f t="shared" si="110"/>
        <v>979</v>
      </c>
      <c r="BU197" s="122"/>
      <c r="BW197" s="50">
        <f t="shared" si="144"/>
        <v>1365</v>
      </c>
      <c r="BX197" s="50">
        <f t="shared" si="145"/>
        <v>979</v>
      </c>
      <c r="BY197" s="53">
        <f t="shared" si="146"/>
        <v>0</v>
      </c>
      <c r="BZ197" s="53">
        <f t="shared" si="147"/>
        <v>0</v>
      </c>
      <c r="CA197" s="53">
        <f t="shared" si="148"/>
        <v>979</v>
      </c>
      <c r="CC197" s="126">
        <f t="shared" si="138"/>
        <v>873.75142581633452</v>
      </c>
      <c r="CD197" s="127">
        <f t="shared" si="111"/>
        <v>10.815432994768493</v>
      </c>
    </row>
    <row r="198" spans="2:82" x14ac:dyDescent="0.35">
      <c r="D198" s="1"/>
      <c r="F198" s="8"/>
      <c r="G198" s="8"/>
      <c r="L198" s="1"/>
      <c r="T198" s="116"/>
      <c r="U198" s="142">
        <f>ABS(IF(U197&gt;0,($T$197/$G$70)/U197,IF(AK119,10,0)))</f>
        <v>0</v>
      </c>
      <c r="V198" s="142">
        <f>ABS(IF(V197&gt;0,($T$197/$G$70)/V197,IF(AK120,10,0)))</f>
        <v>0.75082976347617436</v>
      </c>
      <c r="W198" s="142">
        <f>ABS(IF(W197&gt;0,($T$197/$G$70)/W197,IF(AK121,10,0)))</f>
        <v>0.69156997627060146</v>
      </c>
      <c r="X198" s="142">
        <f>ABS(IF(X197&gt;0,($T$197/$G$70)/X197,IF(AK122,10,0)))</f>
        <v>0.83950535404759041</v>
      </c>
      <c r="Y198" s="37" t="s">
        <v>389</v>
      </c>
      <c r="AM198" s="44">
        <f t="shared" si="127"/>
        <v>1380</v>
      </c>
      <c r="AN198" s="45">
        <f t="shared" si="139"/>
        <v>979</v>
      </c>
      <c r="AO198" s="54">
        <f t="shared" si="99"/>
        <v>0</v>
      </c>
      <c r="AP198" s="54">
        <f t="shared" si="100"/>
        <v>0</v>
      </c>
      <c r="AQ198" s="54">
        <f t="shared" si="128"/>
        <v>0</v>
      </c>
      <c r="AR198" s="46">
        <f t="shared" si="101"/>
        <v>0</v>
      </c>
      <c r="AS198" s="47">
        <f t="shared" si="129"/>
        <v>0</v>
      </c>
      <c r="AT198" s="47">
        <f t="shared" si="140"/>
        <v>0</v>
      </c>
      <c r="AU198" s="48">
        <f t="shared" si="130"/>
        <v>0</v>
      </c>
      <c r="AV198" s="48">
        <f t="shared" si="102"/>
        <v>873.75142581633452</v>
      </c>
      <c r="AW198" s="140">
        <f t="shared" si="131"/>
        <v>-197.39209979505577</v>
      </c>
      <c r="AX198" s="53"/>
      <c r="BA198" s="50"/>
      <c r="BB198" s="50"/>
      <c r="BD198" s="50">
        <f t="shared" si="104"/>
        <v>1380</v>
      </c>
      <c r="BE198" s="50">
        <f t="shared" si="105"/>
        <v>979</v>
      </c>
      <c r="BF198" s="53">
        <f t="shared" si="106"/>
        <v>0</v>
      </c>
      <c r="BG198" s="53">
        <f t="shared" si="134"/>
        <v>0</v>
      </c>
      <c r="BH198" s="53">
        <f t="shared" si="135"/>
        <v>873.75142581633452</v>
      </c>
      <c r="BI198" s="127">
        <f t="shared" si="136"/>
        <v>-197.39209979505577</v>
      </c>
      <c r="BK198" s="44">
        <f t="shared" si="137"/>
        <v>1380</v>
      </c>
      <c r="BL198" s="45">
        <f t="shared" si="141"/>
        <v>979</v>
      </c>
      <c r="BM198" s="119" cm="1">
        <f t="array" ref="BM198">IF(($AG$51=0),0,
_xlfn.IFS(BK198&lt;=$BL$102,($AG$53*(1-(BK198/$BL$102))),AND(BK198&gt;$BL$102,BK198&lt;($AG$55+$BL$102)),0,BK198&gt;=($AG$55+$BL$102),($AG$53*((BK198-($AG$55+$BL$102))/$BL$102)))-$AG$54)</f>
        <v>0</v>
      </c>
      <c r="BN198" s="119" cm="1">
        <f t="array" ref="BN198">IF(($AG$51=0),0,
_xlfn.IFS(BK198&lt;=$BL$102,($BL$103*(1-(BK198/$BL$102))),AND(BK198&gt;$BL$102,BK198&lt;($AG$55+$BL$102)),0,BK198&gt;=($AG$55+$BL$102),($BL$103*((BK198-($AG$55+$BL$102))/$BL$102))))</f>
        <v>0</v>
      </c>
      <c r="BO198" s="120">
        <f t="shared" si="107"/>
        <v>0</v>
      </c>
      <c r="BP198" s="121">
        <f t="shared" si="108"/>
        <v>0</v>
      </c>
      <c r="BQ198" s="121">
        <f t="shared" si="142"/>
        <v>0</v>
      </c>
      <c r="BR198" s="48">
        <f t="shared" si="109"/>
        <v>0</v>
      </c>
      <c r="BS198" s="48">
        <f t="shared" si="110"/>
        <v>979</v>
      </c>
      <c r="BU198" s="122"/>
      <c r="BW198" s="50">
        <f t="shared" si="144"/>
        <v>1380</v>
      </c>
      <c r="BX198" s="50">
        <f t="shared" si="145"/>
        <v>979</v>
      </c>
      <c r="BY198" s="53">
        <f t="shared" si="146"/>
        <v>0</v>
      </c>
      <c r="BZ198" s="53">
        <f t="shared" si="147"/>
        <v>0</v>
      </c>
      <c r="CA198" s="53">
        <f t="shared" si="148"/>
        <v>979</v>
      </c>
      <c r="CC198" s="126">
        <f t="shared" si="138"/>
        <v>873.75142581633452</v>
      </c>
      <c r="CD198" s="127">
        <f t="shared" si="111"/>
        <v>10.815432994768493</v>
      </c>
    </row>
    <row r="199" spans="2:82" x14ac:dyDescent="0.35">
      <c r="D199" s="1"/>
      <c r="L199" s="1"/>
      <c r="AM199" s="44">
        <f t="shared" si="127"/>
        <v>1395</v>
      </c>
      <c r="AN199" s="45">
        <f t="shared" si="139"/>
        <v>979</v>
      </c>
      <c r="AO199" s="54">
        <f t="shared" si="99"/>
        <v>0</v>
      </c>
      <c r="AP199" s="54">
        <f t="shared" si="100"/>
        <v>0</v>
      </c>
      <c r="AQ199" s="54">
        <f t="shared" si="128"/>
        <v>0</v>
      </c>
      <c r="AR199" s="46">
        <f t="shared" si="101"/>
        <v>0</v>
      </c>
      <c r="AS199" s="47">
        <f t="shared" si="129"/>
        <v>0</v>
      </c>
      <c r="AT199" s="47">
        <f t="shared" si="140"/>
        <v>0</v>
      </c>
      <c r="AU199" s="48">
        <f t="shared" si="130"/>
        <v>0</v>
      </c>
      <c r="AV199" s="48">
        <f t="shared" si="102"/>
        <v>873.75142581633452</v>
      </c>
      <c r="AW199" s="140">
        <f t="shared" si="131"/>
        <v>-197.39209979505577</v>
      </c>
      <c r="AX199" s="53"/>
      <c r="BA199" s="50"/>
      <c r="BB199" s="50"/>
      <c r="BD199" s="50">
        <f t="shared" si="104"/>
        <v>1395</v>
      </c>
      <c r="BE199" s="50">
        <f t="shared" si="105"/>
        <v>979</v>
      </c>
      <c r="BF199" s="53">
        <f t="shared" si="106"/>
        <v>0</v>
      </c>
      <c r="BG199" s="53">
        <f t="shared" si="134"/>
        <v>0</v>
      </c>
      <c r="BH199" s="53">
        <f t="shared" si="135"/>
        <v>873.75142581633452</v>
      </c>
      <c r="BI199" s="127">
        <f t="shared" si="136"/>
        <v>-197.39209979505577</v>
      </c>
      <c r="BK199" s="44">
        <f t="shared" si="137"/>
        <v>1395</v>
      </c>
      <c r="BL199" s="45">
        <f t="shared" si="141"/>
        <v>979</v>
      </c>
      <c r="BM199" s="119" cm="1">
        <f t="array" ref="BM199">IF(($AG$51=0),0,
_xlfn.IFS(BK199&lt;=$BL$102,($AG$53*(1-(BK199/$BL$102))),AND(BK199&gt;$BL$102,BK199&lt;($AG$55+$BL$102)),0,BK199&gt;=($AG$55+$BL$102),($AG$53*((BK199-($AG$55+$BL$102))/$BL$102)))-$AG$54)</f>
        <v>0</v>
      </c>
      <c r="BN199" s="119" cm="1">
        <f t="array" ref="BN199">IF(($AG$51=0),0,
_xlfn.IFS(BK199&lt;=$BL$102,($BL$103*(1-(BK199/$BL$102))),AND(BK199&gt;$BL$102,BK199&lt;($AG$55+$BL$102)),0,BK199&gt;=($AG$55+$BL$102),($BL$103*((BK199-($AG$55+$BL$102))/$BL$102))))</f>
        <v>0</v>
      </c>
      <c r="BO199" s="120">
        <f t="shared" si="107"/>
        <v>0</v>
      </c>
      <c r="BP199" s="121">
        <f t="shared" si="108"/>
        <v>0</v>
      </c>
      <c r="BQ199" s="121">
        <f t="shared" si="142"/>
        <v>0</v>
      </c>
      <c r="BR199" s="48">
        <f t="shared" si="109"/>
        <v>0</v>
      </c>
      <c r="BS199" s="48">
        <f t="shared" si="110"/>
        <v>979</v>
      </c>
      <c r="BU199" s="122"/>
      <c r="BW199" s="50">
        <f t="shared" si="144"/>
        <v>1395</v>
      </c>
      <c r="BX199" s="50">
        <f t="shared" si="145"/>
        <v>979</v>
      </c>
      <c r="BY199" s="53">
        <f t="shared" si="146"/>
        <v>0</v>
      </c>
      <c r="BZ199" s="53">
        <f t="shared" si="147"/>
        <v>0</v>
      </c>
      <c r="CA199" s="53">
        <f t="shared" si="148"/>
        <v>979</v>
      </c>
      <c r="CC199" s="126">
        <f t="shared" si="138"/>
        <v>873.75142581633452</v>
      </c>
      <c r="CD199" s="127">
        <f t="shared" si="111"/>
        <v>10.815432994768493</v>
      </c>
    </row>
    <row r="200" spans="2:82" x14ac:dyDescent="0.35">
      <c r="AM200" s="44">
        <f t="shared" si="127"/>
        <v>1410</v>
      </c>
      <c r="AN200" s="45">
        <f t="shared" si="139"/>
        <v>979</v>
      </c>
      <c r="AO200" s="54">
        <f t="shared" si="99"/>
        <v>0</v>
      </c>
      <c r="AP200" s="54">
        <f t="shared" si="100"/>
        <v>0</v>
      </c>
      <c r="AQ200" s="54">
        <f t="shared" si="128"/>
        <v>0</v>
      </c>
      <c r="AR200" s="46">
        <f t="shared" si="101"/>
        <v>0</v>
      </c>
      <c r="AS200" s="47">
        <f t="shared" si="129"/>
        <v>0</v>
      </c>
      <c r="AT200" s="47">
        <f t="shared" si="140"/>
        <v>0</v>
      </c>
      <c r="AU200" s="48">
        <f t="shared" si="130"/>
        <v>0</v>
      </c>
      <c r="AV200" s="48">
        <f t="shared" si="102"/>
        <v>873.75142581633452</v>
      </c>
      <c r="AW200" s="140">
        <f t="shared" si="131"/>
        <v>-197.39209979505577</v>
      </c>
      <c r="AX200" s="53"/>
      <c r="BA200" s="50"/>
      <c r="BB200" s="50"/>
      <c r="BD200" s="50">
        <f t="shared" si="104"/>
        <v>1410</v>
      </c>
      <c r="BE200" s="50">
        <f t="shared" si="105"/>
        <v>979</v>
      </c>
      <c r="BF200" s="53">
        <f t="shared" si="106"/>
        <v>0</v>
      </c>
      <c r="BG200" s="53">
        <f t="shared" si="134"/>
        <v>0</v>
      </c>
      <c r="BH200" s="53">
        <f t="shared" si="135"/>
        <v>873.75142581633452</v>
      </c>
      <c r="BI200" s="127">
        <f t="shared" si="136"/>
        <v>-197.39209979505577</v>
      </c>
      <c r="BK200" s="44">
        <f t="shared" si="137"/>
        <v>1410</v>
      </c>
      <c r="BL200" s="45">
        <f t="shared" si="141"/>
        <v>979</v>
      </c>
      <c r="BM200" s="119" cm="1">
        <f t="array" ref="BM200">IF(($AG$51=0),0,
_xlfn.IFS(BK200&lt;=$BL$102,($AG$53*(1-(BK200/$BL$102))),AND(BK200&gt;$BL$102,BK200&lt;($AG$55+$BL$102)),0,BK200&gt;=($AG$55+$BL$102),($AG$53*((BK200-($AG$55+$BL$102))/$BL$102)))-$AG$54)</f>
        <v>0</v>
      </c>
      <c r="BN200" s="119" cm="1">
        <f t="array" ref="BN200">IF(($AG$51=0),0,
_xlfn.IFS(BK200&lt;=$BL$102,($BL$103*(1-(BK200/$BL$102))),AND(BK200&gt;$BL$102,BK200&lt;($AG$55+$BL$102)),0,BK200&gt;=($AG$55+$BL$102),($BL$103*((BK200-($AG$55+$BL$102))/$BL$102))))</f>
        <v>0</v>
      </c>
      <c r="BO200" s="120">
        <f t="shared" si="107"/>
        <v>0</v>
      </c>
      <c r="BP200" s="121">
        <f t="shared" si="108"/>
        <v>0</v>
      </c>
      <c r="BQ200" s="121">
        <f t="shared" si="142"/>
        <v>0</v>
      </c>
      <c r="BR200" s="48">
        <f t="shared" si="109"/>
        <v>0</v>
      </c>
      <c r="BS200" s="48">
        <f t="shared" si="110"/>
        <v>979</v>
      </c>
      <c r="BU200" s="122"/>
      <c r="BW200" s="50">
        <f t="shared" si="144"/>
        <v>1410</v>
      </c>
      <c r="BX200" s="50">
        <f t="shared" si="145"/>
        <v>979</v>
      </c>
      <c r="BY200" s="53">
        <f t="shared" si="146"/>
        <v>0</v>
      </c>
      <c r="BZ200" s="53">
        <f t="shared" si="147"/>
        <v>0</v>
      </c>
      <c r="CA200" s="53">
        <f t="shared" si="148"/>
        <v>979</v>
      </c>
      <c r="CC200" s="126">
        <f t="shared" si="138"/>
        <v>873.75142581633452</v>
      </c>
      <c r="CD200" s="127">
        <f t="shared" si="111"/>
        <v>10.815432994768493</v>
      </c>
    </row>
    <row r="201" spans="2:82" x14ac:dyDescent="0.35">
      <c r="C201" s="19" t="s">
        <v>345</v>
      </c>
      <c r="D201" s="3"/>
      <c r="AM201" s="44">
        <f t="shared" si="127"/>
        <v>1425</v>
      </c>
      <c r="AN201" s="45">
        <f t="shared" si="139"/>
        <v>979</v>
      </c>
      <c r="AO201" s="54">
        <f t="shared" si="99"/>
        <v>0</v>
      </c>
      <c r="AP201" s="54">
        <f t="shared" si="100"/>
        <v>0</v>
      </c>
      <c r="AQ201" s="54">
        <f t="shared" si="128"/>
        <v>0</v>
      </c>
      <c r="AR201" s="46">
        <f t="shared" si="101"/>
        <v>0</v>
      </c>
      <c r="AS201" s="47">
        <f t="shared" si="129"/>
        <v>0</v>
      </c>
      <c r="AT201" s="47">
        <f t="shared" si="140"/>
        <v>0</v>
      </c>
      <c r="AU201" s="48">
        <f t="shared" si="130"/>
        <v>0</v>
      </c>
      <c r="AV201" s="48">
        <f t="shared" si="102"/>
        <v>873.75142581633452</v>
      </c>
      <c r="AW201" s="140">
        <f t="shared" si="131"/>
        <v>-197.39209979505577</v>
      </c>
      <c r="AX201" s="53"/>
      <c r="BA201" s="50"/>
      <c r="BB201" s="50"/>
      <c r="BD201" s="50">
        <f t="shared" si="104"/>
        <v>1425</v>
      </c>
      <c r="BE201" s="50">
        <f t="shared" si="105"/>
        <v>979</v>
      </c>
      <c r="BF201" s="53">
        <f t="shared" si="106"/>
        <v>0</v>
      </c>
      <c r="BG201" s="53">
        <f t="shared" si="134"/>
        <v>0</v>
      </c>
      <c r="BH201" s="53">
        <f t="shared" si="135"/>
        <v>873.75142581633452</v>
      </c>
      <c r="BI201" s="127">
        <f t="shared" si="136"/>
        <v>-197.39209979505577</v>
      </c>
      <c r="BK201" s="44">
        <f t="shared" si="137"/>
        <v>1425</v>
      </c>
      <c r="BL201" s="45">
        <f t="shared" si="141"/>
        <v>979</v>
      </c>
      <c r="BM201" s="119" cm="1">
        <f t="array" ref="BM201">IF(($AG$51=0),0,
_xlfn.IFS(BK201&lt;=$BL$102,($AG$53*(1-(BK201/$BL$102))),AND(BK201&gt;$BL$102,BK201&lt;($AG$55+$BL$102)),0,BK201&gt;=($AG$55+$BL$102),($AG$53*((BK201-($AG$55+$BL$102))/$BL$102)))-$AG$54)</f>
        <v>0</v>
      </c>
      <c r="BN201" s="119" cm="1">
        <f t="array" ref="BN201">IF(($AG$51=0),0,
_xlfn.IFS(BK201&lt;=$BL$102,($BL$103*(1-(BK201/$BL$102))),AND(BK201&gt;$BL$102,BK201&lt;($AG$55+$BL$102)),0,BK201&gt;=($AG$55+$BL$102),($BL$103*((BK201-($AG$55+$BL$102))/$BL$102))))</f>
        <v>0</v>
      </c>
      <c r="BO201" s="120">
        <f t="shared" si="107"/>
        <v>0</v>
      </c>
      <c r="BP201" s="121">
        <f t="shared" si="108"/>
        <v>0</v>
      </c>
      <c r="BQ201" s="121">
        <f t="shared" si="142"/>
        <v>0</v>
      </c>
      <c r="BR201" s="48">
        <f t="shared" si="109"/>
        <v>0</v>
      </c>
      <c r="BS201" s="48">
        <f t="shared" si="110"/>
        <v>979</v>
      </c>
      <c r="BU201" s="122"/>
      <c r="BW201" s="50">
        <f t="shared" si="144"/>
        <v>1425</v>
      </c>
      <c r="BX201" s="50">
        <f t="shared" si="145"/>
        <v>979</v>
      </c>
      <c r="BY201" s="53">
        <f t="shared" si="146"/>
        <v>0</v>
      </c>
      <c r="BZ201" s="53">
        <f t="shared" si="147"/>
        <v>0</v>
      </c>
      <c r="CA201" s="53">
        <f t="shared" si="148"/>
        <v>979</v>
      </c>
      <c r="CC201" s="126">
        <f t="shared" si="138"/>
        <v>873.75142581633452</v>
      </c>
      <c r="CD201" s="127">
        <f t="shared" si="111"/>
        <v>10.815432994768493</v>
      </c>
    </row>
    <row r="202" spans="2:82" x14ac:dyDescent="0.35">
      <c r="C202" s="6">
        <v>0</v>
      </c>
      <c r="D202" s="3">
        <f>IF(INDEX($P$106:$P$196,MATCH(C204,$C$106:$C$196,1))=0,0,INDEX($O$106:$O$196,MATCH(C204,$C$106:$C$196,1)))</f>
        <v>0</v>
      </c>
      <c r="AM202" s="44">
        <f t="shared" si="127"/>
        <v>1440</v>
      </c>
      <c r="AN202" s="45">
        <f t="shared" si="139"/>
        <v>979</v>
      </c>
      <c r="AO202" s="54">
        <f t="shared" si="99"/>
        <v>0</v>
      </c>
      <c r="AP202" s="54">
        <f t="shared" si="100"/>
        <v>0</v>
      </c>
      <c r="AQ202" s="54">
        <f t="shared" si="128"/>
        <v>0</v>
      </c>
      <c r="AR202" s="46">
        <f>(2*AQ202)*RADIANS($AG$22/2)</f>
        <v>0</v>
      </c>
      <c r="AS202" s="47">
        <f t="shared" si="129"/>
        <v>0</v>
      </c>
      <c r="AT202" s="47">
        <f t="shared" si="140"/>
        <v>0</v>
      </c>
      <c r="AU202" s="48">
        <f t="shared" si="130"/>
        <v>0</v>
      </c>
      <c r="AV202" s="48">
        <f>AN202+AU202-$AU$104</f>
        <v>873.75142581633452</v>
      </c>
      <c r="AW202" s="140">
        <f t="shared" si="131"/>
        <v>-197.39209979505577</v>
      </c>
      <c r="AX202" s="53"/>
      <c r="BA202" s="50"/>
      <c r="BB202" s="50"/>
      <c r="BD202" s="50">
        <f t="shared" si="104"/>
        <v>1440</v>
      </c>
      <c r="BE202" s="50">
        <f t="shared" si="105"/>
        <v>979</v>
      </c>
      <c r="BF202" s="53">
        <f t="shared" si="106"/>
        <v>0</v>
      </c>
      <c r="BG202" s="53">
        <f t="shared" si="134"/>
        <v>0</v>
      </c>
      <c r="BH202" s="53">
        <f t="shared" si="135"/>
        <v>873.75142581633452</v>
      </c>
      <c r="BI202" s="127">
        <f t="shared" si="136"/>
        <v>-197.39209979505577</v>
      </c>
      <c r="BK202" s="44">
        <f t="shared" si="137"/>
        <v>1440</v>
      </c>
      <c r="BL202" s="45">
        <f t="shared" si="141"/>
        <v>979</v>
      </c>
      <c r="BM202" s="119" cm="1">
        <f t="array" ref="BM202">IF(($AG$51=0),0,
_xlfn.IFS(BK202&lt;=$BL$102,($AG$53*(1-(BK202/$BL$102))),AND(BK202&gt;$BL$102,BK202&lt;($AG$55+$BL$102)),0,BK202&gt;=($AG$55+$BL$102),($AG$53*((BK202-($AG$55+$BL$102))/$BL$102)))-$AG$54)</f>
        <v>0</v>
      </c>
      <c r="BN202" s="119" cm="1">
        <f t="array" ref="BN202">IF(($AG$51=0),0,
_xlfn.IFS(BK202&lt;=$BL$102,($BL$103*(1-(BK202/$BL$102))),AND(BK202&gt;$BL$102,BK202&lt;($AG$55+$BL$102)),0,BK202&gt;=($AG$55+$BL$102),($BL$103*((BK202-($AG$55+$BL$102))/$BL$102))))</f>
        <v>0</v>
      </c>
      <c r="BO202" s="120">
        <f>SQRT((BM202^2+BN202^2)+$AG$51^2)-$AG$51</f>
        <v>0</v>
      </c>
      <c r="BP202" s="121">
        <f>IF($AG$51=0,0,(BO202/$AG$51))</f>
        <v>0</v>
      </c>
      <c r="BQ202" s="121">
        <f t="shared" si="142"/>
        <v>0</v>
      </c>
      <c r="BR202" s="48">
        <f>(BP202+BQ202)*$AG$16*$AG$18</f>
        <v>0</v>
      </c>
      <c r="BS202" s="48">
        <f>BL202+BR202-$BQ$104</f>
        <v>979</v>
      </c>
      <c r="BU202" s="122"/>
      <c r="BW202" s="50">
        <f t="shared" si="144"/>
        <v>1440</v>
      </c>
      <c r="BX202" s="50">
        <f t="shared" si="145"/>
        <v>979</v>
      </c>
      <c r="BY202" s="53">
        <f t="shared" si="146"/>
        <v>0</v>
      </c>
      <c r="BZ202" s="53">
        <f t="shared" si="147"/>
        <v>0</v>
      </c>
      <c r="CA202" s="53">
        <f t="shared" si="148"/>
        <v>979</v>
      </c>
      <c r="CC202" s="126">
        <f t="shared" si="138"/>
        <v>873.75142581633452</v>
      </c>
      <c r="CD202" s="127">
        <f>($AG$15*$AG$18)/(CC202)</f>
        <v>10.815432994768493</v>
      </c>
    </row>
    <row r="203" spans="2:82" x14ac:dyDescent="0.35">
      <c r="C203" s="6">
        <f>C202+1</f>
        <v>1</v>
      </c>
      <c r="D203" s="3">
        <f t="shared" ref="D203:D266" si="149">IF(INDEX($P$106:$P$196,MATCH(C205,$C$106:$C$196,1))=0,0,INDEX($O$106:$O$196,MATCH(C205,$C$106:$C$196,1)))</f>
        <v>0</v>
      </c>
      <c r="AM203" s="44">
        <f t="shared" si="127"/>
        <v>1455</v>
      </c>
      <c r="AN203" s="45">
        <f t="shared" si="139"/>
        <v>979</v>
      </c>
      <c r="AO203" s="54">
        <f t="shared" si="99"/>
        <v>0</v>
      </c>
      <c r="AP203" s="54">
        <f t="shared" si="100"/>
        <v>0</v>
      </c>
      <c r="AQ203" s="54">
        <f t="shared" si="128"/>
        <v>0</v>
      </c>
      <c r="AR203" s="46">
        <f>(2*AQ203)*RADIANS($AG$22/2)</f>
        <v>0</v>
      </c>
      <c r="AS203" s="47">
        <f t="shared" si="129"/>
        <v>0</v>
      </c>
      <c r="AT203" s="47">
        <f t="shared" si="140"/>
        <v>0</v>
      </c>
      <c r="AU203" s="48">
        <f t="shared" si="130"/>
        <v>0</v>
      </c>
      <c r="AV203" s="48">
        <f>AN203+AU203-$AU$104</f>
        <v>873.75142581633452</v>
      </c>
      <c r="AW203" s="140">
        <f t="shared" si="131"/>
        <v>-197.39209979505577</v>
      </c>
      <c r="AX203" s="53"/>
      <c r="BA203" s="50"/>
      <c r="BB203" s="50"/>
      <c r="BD203" s="50">
        <f t="shared" si="104"/>
        <v>1455</v>
      </c>
      <c r="BE203" s="50">
        <f t="shared" si="105"/>
        <v>979</v>
      </c>
      <c r="BF203" s="53">
        <f t="shared" si="106"/>
        <v>0</v>
      </c>
      <c r="BG203" s="53">
        <f t="shared" si="134"/>
        <v>0</v>
      </c>
      <c r="BH203" s="53">
        <f t="shared" si="135"/>
        <v>873.75142581633452</v>
      </c>
      <c r="BI203" s="127">
        <f t="shared" si="136"/>
        <v>-197.39209979505577</v>
      </c>
      <c r="BK203" s="44">
        <f t="shared" si="137"/>
        <v>1455</v>
      </c>
      <c r="BL203" s="45">
        <f t="shared" si="141"/>
        <v>979</v>
      </c>
      <c r="BM203" s="119" cm="1">
        <f t="array" ref="BM203">IF(($AG$51=0),0,
_xlfn.IFS(BK203&lt;=$BL$102,($AG$53*(1-(BK203/$BL$102))),AND(BK203&gt;$BL$102,BK203&lt;($AG$55+$BL$102)),0,BK203&gt;=($AG$55+$BL$102),($AG$53*((BK203-($AG$55+$BL$102))/$BL$102)))-$AG$54)</f>
        <v>0</v>
      </c>
      <c r="BN203" s="119" cm="1">
        <f t="array" ref="BN203">IF(($AG$51=0),0,
_xlfn.IFS(BK203&lt;=$BL$102,($BL$103*(1-(BK203/$BL$102))),AND(BK203&gt;$BL$102,BK203&lt;($AG$55+$BL$102)),0,BK203&gt;=($AG$55+$BL$102),($BL$103*((BK203-($AG$55+$BL$102))/$BL$102))))</f>
        <v>0</v>
      </c>
      <c r="BO203" s="120">
        <f>SQRT((BM203^2+BN203^2)+$AG$51^2)-$AG$51</f>
        <v>0</v>
      </c>
      <c r="BP203" s="121">
        <f>IF($AG$51=0,0,(BO203/$AG$51))</f>
        <v>0</v>
      </c>
      <c r="BQ203" s="121">
        <f t="shared" si="142"/>
        <v>0</v>
      </c>
      <c r="BR203" s="48">
        <f>(BP203+BQ203)*$AG$16*$AG$18</f>
        <v>0</v>
      </c>
      <c r="BS203" s="48">
        <f>BL203+BR203-$BQ$104</f>
        <v>979</v>
      </c>
      <c r="BU203" s="122"/>
      <c r="BW203" s="50">
        <f t="shared" si="144"/>
        <v>1455</v>
      </c>
      <c r="BX203" s="50">
        <f t="shared" si="145"/>
        <v>979</v>
      </c>
      <c r="BY203" s="53">
        <f t="shared" si="146"/>
        <v>0</v>
      </c>
      <c r="BZ203" s="53">
        <f t="shared" si="147"/>
        <v>0</v>
      </c>
      <c r="CA203" s="53">
        <f t="shared" si="148"/>
        <v>979</v>
      </c>
      <c r="CC203" s="126">
        <f t="shared" si="138"/>
        <v>873.75142581633452</v>
      </c>
      <c r="CD203" s="127">
        <f>($AG$15*$AG$18)/(CC203)</f>
        <v>10.815432994768493</v>
      </c>
    </row>
    <row r="204" spans="2:82" x14ac:dyDescent="0.35">
      <c r="C204" s="6">
        <f t="shared" ref="C204:C267" si="150">C203+1</f>
        <v>2</v>
      </c>
      <c r="D204" s="3">
        <f t="shared" si="149"/>
        <v>0</v>
      </c>
      <c r="AM204" s="44">
        <f t="shared" si="127"/>
        <v>1470</v>
      </c>
      <c r="AN204" s="45">
        <f t="shared" si="139"/>
        <v>979</v>
      </c>
      <c r="AO204" s="54">
        <f t="shared" si="99"/>
        <v>0</v>
      </c>
      <c r="AP204" s="54">
        <f t="shared" si="100"/>
        <v>0</v>
      </c>
      <c r="AQ204" s="54">
        <f t="shared" si="128"/>
        <v>0</v>
      </c>
      <c r="AR204" s="46">
        <f>(2*AQ204)*RADIANS($AG$22/2)</f>
        <v>0</v>
      </c>
      <c r="AS204" s="47">
        <f t="shared" si="129"/>
        <v>0</v>
      </c>
      <c r="AT204" s="47">
        <f>((AS204-AS203)*$D$90)+((AS204-AS202)*0.5*$D$90)-((AS205-AS204)*$D$90)-((AS206-AS204)*0.5*$D$90)</f>
        <v>0</v>
      </c>
      <c r="AU204" s="48">
        <f t="shared" si="130"/>
        <v>0</v>
      </c>
      <c r="AV204" s="48">
        <f>AN204+AU204-$AU$104</f>
        <v>873.75142581633452</v>
      </c>
      <c r="AW204" s="140">
        <f t="shared" si="131"/>
        <v>-197.39209979505577</v>
      </c>
      <c r="AX204" s="53"/>
      <c r="BA204" s="50"/>
      <c r="BB204" s="50"/>
      <c r="BD204" s="50">
        <f t="shared" si="104"/>
        <v>1470</v>
      </c>
      <c r="BE204" s="50">
        <f t="shared" si="105"/>
        <v>979</v>
      </c>
      <c r="BF204" s="53">
        <f t="shared" si="106"/>
        <v>0</v>
      </c>
      <c r="BG204" s="53">
        <f t="shared" si="134"/>
        <v>0</v>
      </c>
      <c r="BH204" s="53">
        <f t="shared" si="135"/>
        <v>873.75142581633452</v>
      </c>
      <c r="BI204" s="127">
        <f t="shared" si="136"/>
        <v>-197.39209979505577</v>
      </c>
      <c r="BK204" s="44">
        <f t="shared" si="137"/>
        <v>1470</v>
      </c>
      <c r="BL204" s="45">
        <f t="shared" si="141"/>
        <v>979</v>
      </c>
      <c r="BM204" s="119" cm="1">
        <f t="array" ref="BM204">IF(($AG$51=0),0,
_xlfn.IFS(BK204&lt;=$BL$102,($AG$53*(1-(BK204/$BL$102))),AND(BK204&gt;$BL$102,BK204&lt;($AG$55+$BL$102)),0,BK204&gt;=($AG$55+$BL$102),($AG$53*((BK204-($AG$55+$BL$102))/$BL$102)))-$AG$54)</f>
        <v>0</v>
      </c>
      <c r="BN204" s="119" cm="1">
        <f t="array" ref="BN204">IF(($AG$51=0),0,
_xlfn.IFS(BK204&lt;=$BL$102,($BL$103*(1-(BK204/$BL$102))),AND(BK204&gt;$BL$102,BK204&lt;($AG$55+$BL$102)),0,BK204&gt;=($AG$55+$BL$102),($BL$103*((BK204-($AG$55+$BL$102))/$BL$102))))</f>
        <v>0</v>
      </c>
      <c r="BO204" s="120">
        <f>SQRT((BM204^2+BN204^2)+$AG$51^2)-$AG$51</f>
        <v>0</v>
      </c>
      <c r="BP204" s="121">
        <f>IF($AG$51=0,0,(BO204/$AG$51))</f>
        <v>0</v>
      </c>
      <c r="BQ204" s="121">
        <f t="shared" si="142"/>
        <v>0</v>
      </c>
      <c r="BR204" s="48">
        <f>(BP204+BQ204)*$AG$16*$AG$18</f>
        <v>0</v>
      </c>
      <c r="BS204" s="48">
        <f>BL204+BR204-$BQ$104</f>
        <v>979</v>
      </c>
      <c r="BU204" s="122"/>
      <c r="BW204" s="50">
        <f t="shared" si="144"/>
        <v>1470</v>
      </c>
      <c r="BX204" s="50">
        <f t="shared" si="145"/>
        <v>979</v>
      </c>
      <c r="BY204" s="53">
        <f t="shared" si="146"/>
        <v>0</v>
      </c>
      <c r="BZ204" s="53">
        <f t="shared" si="147"/>
        <v>0</v>
      </c>
      <c r="CA204" s="53">
        <f t="shared" si="148"/>
        <v>979</v>
      </c>
      <c r="CC204" s="126">
        <f t="shared" si="138"/>
        <v>873.75142581633452</v>
      </c>
      <c r="CD204" s="127">
        <f>($AG$15*$AG$18)/(CC204)</f>
        <v>10.815432994768493</v>
      </c>
    </row>
    <row r="205" spans="2:82" x14ac:dyDescent="0.35">
      <c r="C205" s="6">
        <f t="shared" si="150"/>
        <v>3</v>
      </c>
      <c r="D205" s="3">
        <f t="shared" si="149"/>
        <v>0</v>
      </c>
      <c r="AM205" s="44">
        <f t="shared" si="127"/>
        <v>1485</v>
      </c>
      <c r="AN205" s="45">
        <f t="shared" si="139"/>
        <v>979</v>
      </c>
      <c r="AO205" s="54">
        <f t="shared" si="99"/>
        <v>0</v>
      </c>
      <c r="AP205" s="54">
        <f t="shared" si="100"/>
        <v>0</v>
      </c>
      <c r="AQ205" s="54">
        <f t="shared" si="128"/>
        <v>0</v>
      </c>
      <c r="AR205" s="46">
        <f>(2*AQ205)*RADIANS($AG$22/2)</f>
        <v>0</v>
      </c>
      <c r="AS205" s="47">
        <f t="shared" si="129"/>
        <v>0</v>
      </c>
      <c r="AT205" s="47">
        <f>((AS205-AS204)*$D$90)+((AS205-AS203)*0.5*$D$90)-((AS206-AS205)*$D$90)</f>
        <v>0</v>
      </c>
      <c r="AU205" s="48">
        <f t="shared" si="130"/>
        <v>0</v>
      </c>
      <c r="AV205" s="48">
        <f>AN205+AU205-$AU$104</f>
        <v>873.75142581633452</v>
      </c>
      <c r="AW205" s="140">
        <f t="shared" si="131"/>
        <v>-197.39209979505577</v>
      </c>
      <c r="AX205" s="53"/>
      <c r="BA205" s="50"/>
      <c r="BB205" s="50"/>
      <c r="BD205" s="50">
        <f t="shared" si="104"/>
        <v>1485</v>
      </c>
      <c r="BE205" s="50">
        <f t="shared" si="105"/>
        <v>979</v>
      </c>
      <c r="BF205" s="53">
        <f t="shared" si="106"/>
        <v>0</v>
      </c>
      <c r="BG205" s="53">
        <f t="shared" si="134"/>
        <v>0</v>
      </c>
      <c r="BH205" s="53">
        <f t="shared" si="135"/>
        <v>873.75142581633452</v>
      </c>
      <c r="BI205" s="127">
        <f t="shared" si="136"/>
        <v>-197.39209979505577</v>
      </c>
      <c r="BK205" s="44">
        <f t="shared" si="137"/>
        <v>1485</v>
      </c>
      <c r="BL205" s="45">
        <f t="shared" si="141"/>
        <v>979</v>
      </c>
      <c r="BM205" s="119" cm="1">
        <f t="array" ref="BM205">IF(($AG$51=0),0,
_xlfn.IFS(BK205&lt;=$BL$102,($AG$53*(1-(BK205/$BL$102))),AND(BK205&gt;$BL$102,BK205&lt;($AG$55+$BL$102)),0,BK205&gt;=($AG$55+$BL$102),($AG$53*((BK205-($AG$55+$BL$102))/$BL$102)))-$AG$54)</f>
        <v>0</v>
      </c>
      <c r="BN205" s="119" cm="1">
        <f t="array" ref="BN205">IF(($AG$51=0),0,
_xlfn.IFS(BK205&lt;=$BL$102,($BL$103*(1-(BK205/$BL$102))),AND(BK205&gt;$BL$102,BK205&lt;($AG$55+$BL$102)),0,BK205&gt;=($AG$55+$BL$102),($BL$103*((BK205-($AG$55+$BL$102))/$BL$102))))</f>
        <v>0</v>
      </c>
      <c r="BO205" s="120">
        <f>SQRT((BM205^2+BN205^2)+$AG$51^2)-$AG$51</f>
        <v>0</v>
      </c>
      <c r="BP205" s="121">
        <f>IF($AG$51=0,0,(BO205/$AG$51))</f>
        <v>0</v>
      </c>
      <c r="BQ205" s="121">
        <f>((BP205-BP204)*$D$90)+((BP205-BP203)*0.5*$D$90)-((BP206-BP205)*$D$90)</f>
        <v>0</v>
      </c>
      <c r="BR205" s="48">
        <f>(BP205+BQ205)*$AG$16*$AG$18</f>
        <v>0</v>
      </c>
      <c r="BS205" s="48">
        <f>BL205+BR205-$BQ$104</f>
        <v>979</v>
      </c>
      <c r="BU205" s="122"/>
      <c r="BW205" s="50">
        <f t="shared" si="144"/>
        <v>1485</v>
      </c>
      <c r="BX205" s="50">
        <f t="shared" si="145"/>
        <v>979</v>
      </c>
      <c r="BY205" s="53">
        <f t="shared" si="146"/>
        <v>0</v>
      </c>
      <c r="BZ205" s="53">
        <f t="shared" si="147"/>
        <v>0</v>
      </c>
      <c r="CA205" s="53">
        <f t="shared" si="148"/>
        <v>979</v>
      </c>
      <c r="CC205" s="126">
        <f t="shared" si="138"/>
        <v>873.75142581633452</v>
      </c>
      <c r="CD205" s="127">
        <f>($AG$15*$AG$18)/(CC205)</f>
        <v>10.815432994768493</v>
      </c>
    </row>
    <row r="206" spans="2:82" x14ac:dyDescent="0.35">
      <c r="C206" s="6">
        <f t="shared" si="150"/>
        <v>4</v>
      </c>
      <c r="D206" s="3">
        <f t="shared" si="149"/>
        <v>0</v>
      </c>
      <c r="AM206" s="44">
        <f t="shared" si="127"/>
        <v>1500</v>
      </c>
      <c r="AN206" s="45">
        <f t="shared" si="139"/>
        <v>979</v>
      </c>
      <c r="AO206" s="54">
        <f t="shared" si="99"/>
        <v>0</v>
      </c>
      <c r="AP206" s="54">
        <f t="shared" si="100"/>
        <v>0</v>
      </c>
      <c r="AQ206" s="54">
        <f t="shared" si="128"/>
        <v>0</v>
      </c>
      <c r="AR206" s="46">
        <f>(2*AQ206)*RADIANS($AG$22/2)</f>
        <v>0</v>
      </c>
      <c r="AS206" s="47">
        <f t="shared" si="129"/>
        <v>0</v>
      </c>
      <c r="AT206" s="47">
        <v>0</v>
      </c>
      <c r="AU206" s="48">
        <f t="shared" si="130"/>
        <v>0</v>
      </c>
      <c r="AV206" s="48">
        <f>AN206+AU206-$AU$104</f>
        <v>873.75142581633452</v>
      </c>
      <c r="AW206" s="140">
        <f t="shared" si="131"/>
        <v>-197.39209979505577</v>
      </c>
      <c r="BA206" s="50"/>
      <c r="BB206" s="50"/>
      <c r="BD206" s="50">
        <f t="shared" si="104"/>
        <v>1500</v>
      </c>
      <c r="BE206" s="50">
        <f t="shared" si="105"/>
        <v>979</v>
      </c>
      <c r="BF206" s="53">
        <f t="shared" si="106"/>
        <v>0</v>
      </c>
      <c r="BG206" s="53">
        <f t="shared" si="134"/>
        <v>0</v>
      </c>
      <c r="BH206" s="53">
        <f t="shared" si="135"/>
        <v>873.75142581633452</v>
      </c>
      <c r="BI206" s="127">
        <f t="shared" si="136"/>
        <v>-197.39209979505577</v>
      </c>
      <c r="BK206" s="44">
        <f t="shared" si="137"/>
        <v>1500</v>
      </c>
      <c r="BL206" s="45">
        <f t="shared" si="141"/>
        <v>979</v>
      </c>
      <c r="BM206" s="119" cm="1">
        <f t="array" ref="BM206">IF(($AG$51=0),0,
_xlfn.IFS(BK206&lt;=$BL$102,($AG$53*(1-(BK206/$BL$102))),AND(BK206&gt;$BL$102,BK206&lt;($AG$55+$BL$102)),0,BK206&gt;=($AG$55+$BL$102),($AG$53*((BK206-($AG$55+$BL$102))/$BL$102)))-$AG$54)</f>
        <v>0</v>
      </c>
      <c r="BN206" s="119" cm="1">
        <f t="array" ref="BN206">IF(($AG$51=0),0,
_xlfn.IFS(BK206&lt;=$BL$102,($BL$103*(1-(BK206/$BL$102))),AND(BK206&gt;$BL$102,BK206&lt;($AG$55+$BL$102)),0,BK206&gt;=($AG$55+$BL$102),($BL$103*((BK206-($AG$55+$BL$102))/$BL$102))))</f>
        <v>0</v>
      </c>
      <c r="BO206" s="120">
        <f>SQRT((BM206^2+BN206^2)+$AG$51^2)-$AG$51</f>
        <v>0</v>
      </c>
      <c r="BP206" s="121">
        <f>IF($AG$51=0,0,(BO206/$AG$51))</f>
        <v>0</v>
      </c>
      <c r="BQ206" s="121">
        <v>0</v>
      </c>
      <c r="BR206" s="48">
        <f>(BP206+BQ206)*$AG$16*$AG$18</f>
        <v>0</v>
      </c>
      <c r="BS206" s="48">
        <f>BL206+BR206-$BQ$104</f>
        <v>979</v>
      </c>
      <c r="BU206" s="122"/>
      <c r="BW206" s="50">
        <f t="shared" si="144"/>
        <v>1500</v>
      </c>
      <c r="BX206" s="50">
        <f t="shared" si="145"/>
        <v>979</v>
      </c>
      <c r="BY206" s="53">
        <f t="shared" si="146"/>
        <v>0</v>
      </c>
      <c r="BZ206" s="53">
        <f t="shared" si="147"/>
        <v>0</v>
      </c>
      <c r="CA206" s="53">
        <f t="shared" si="148"/>
        <v>979</v>
      </c>
      <c r="CC206" s="126">
        <f t="shared" si="138"/>
        <v>873.75142581633452</v>
      </c>
      <c r="CD206" s="127">
        <f>($AG$15*$AG$18)/(CC206)</f>
        <v>10.815432994768493</v>
      </c>
    </row>
    <row r="207" spans="2:82" x14ac:dyDescent="0.35">
      <c r="C207" s="6">
        <f t="shared" si="150"/>
        <v>5</v>
      </c>
      <c r="D207" s="3">
        <f t="shared" si="149"/>
        <v>0</v>
      </c>
    </row>
    <row r="208" spans="2:82" x14ac:dyDescent="0.35">
      <c r="C208" s="6">
        <f t="shared" si="150"/>
        <v>6</v>
      </c>
      <c r="D208" s="3">
        <f t="shared" si="149"/>
        <v>0</v>
      </c>
      <c r="AP208" s="4" t="s">
        <v>171</v>
      </c>
      <c r="AQ208" s="4"/>
      <c r="AR208" s="46">
        <f>AVERAGE(AR106:AR206)</f>
        <v>2.7497273785409262</v>
      </c>
      <c r="AS208" t="s">
        <v>174</v>
      </c>
      <c r="AT208" s="47">
        <f>(AR208/1000)+($D$77/2)</f>
        <v>0.98974972737854094</v>
      </c>
      <c r="AU208" t="s">
        <v>3</v>
      </c>
      <c r="AV208" s="46">
        <f>MAX(AV106:AV206)-$AN$106</f>
        <v>134.76570401993558</v>
      </c>
      <c r="AW208" t="s">
        <v>0</v>
      </c>
      <c r="AX208" s="4"/>
      <c r="BN208" s="4" t="s">
        <v>171</v>
      </c>
      <c r="BO208" s="46">
        <f>AVERAGE(BO106:BO206)</f>
        <v>0</v>
      </c>
      <c r="BP208" t="s">
        <v>30</v>
      </c>
      <c r="BQ208" t="s">
        <v>191</v>
      </c>
      <c r="BR208" s="46">
        <f>MAX(BR106:BR206)-$BL$106</f>
        <v>-979</v>
      </c>
      <c r="BS208" s="46">
        <f>MAX(BS106:BS206)-$BL$106</f>
        <v>0</v>
      </c>
      <c r="BT208" t="s">
        <v>0</v>
      </c>
      <c r="CC208" s="46">
        <f>MAX(CC106:CC206)-$BL$106</f>
        <v>134.76570401993558</v>
      </c>
    </row>
    <row r="209" spans="3:81" x14ac:dyDescent="0.35">
      <c r="C209" s="6">
        <f t="shared" si="150"/>
        <v>7</v>
      </c>
      <c r="D209" s="3">
        <f t="shared" si="149"/>
        <v>0</v>
      </c>
      <c r="AP209" s="4" t="s">
        <v>172</v>
      </c>
      <c r="AQ209" s="4"/>
      <c r="AR209" s="46">
        <f t="array" ref="AR209">MAX(AR106:AR206)</f>
        <v>6.2482787221397</v>
      </c>
      <c r="AS209" t="s">
        <v>174</v>
      </c>
      <c r="AT209" s="47">
        <f>(AR209/1000)+($D$77/2)</f>
        <v>0.99324827872213972</v>
      </c>
      <c r="AU209" t="s">
        <v>3</v>
      </c>
      <c r="AV209" s="46">
        <f>MIN(AV106:AV206)-$AN$106</f>
        <v>-114.60769306767702</v>
      </c>
      <c r="AW209" t="s">
        <v>0</v>
      </c>
      <c r="AX209" s="4"/>
      <c r="BN209" s="4" t="s">
        <v>172</v>
      </c>
      <c r="BO209" s="46">
        <f t="array" ref="BO209">MAX(BO106:BO206)</f>
        <v>0</v>
      </c>
      <c r="BP209" t="s">
        <v>30</v>
      </c>
      <c r="BQ209" t="s">
        <v>329</v>
      </c>
      <c r="BR209" s="46">
        <f>MIN(BR106:BR206)-$BL$106</f>
        <v>-979</v>
      </c>
      <c r="BS209" s="46">
        <f>MIN(BS106:BS206)-$BL$106</f>
        <v>0</v>
      </c>
      <c r="BT209" t="s">
        <v>0</v>
      </c>
      <c r="CC209" s="46">
        <f>MIN(CC106:CC206)-$BL$106</f>
        <v>-114.60769306767702</v>
      </c>
    </row>
    <row r="210" spans="3:81" x14ac:dyDescent="0.35">
      <c r="C210" s="6">
        <f t="shared" si="150"/>
        <v>8</v>
      </c>
      <c r="D210" s="3">
        <f t="shared" si="149"/>
        <v>0</v>
      </c>
      <c r="AP210" s="4" t="s">
        <v>199</v>
      </c>
      <c r="AQ210" s="4"/>
      <c r="AR210" s="46">
        <f t="array" ref="AR210">MIN(AR107:AR207)</f>
        <v>0</v>
      </c>
      <c r="AS210" t="s">
        <v>174</v>
      </c>
      <c r="AT210" s="47">
        <f>(AR210/1000)+($D$77/2)</f>
        <v>0.98699999999999999</v>
      </c>
      <c r="AU210" t="s">
        <v>3</v>
      </c>
      <c r="BN210" s="4" t="s">
        <v>199</v>
      </c>
      <c r="BO210" s="46">
        <f t="array" ref="BO210">MIN(BO107:BO207)</f>
        <v>0</v>
      </c>
      <c r="BP210" t="s">
        <v>30</v>
      </c>
      <c r="BQ210" t="s">
        <v>330</v>
      </c>
      <c r="BR210" s="17">
        <f>BR208-BR209</f>
        <v>0</v>
      </c>
      <c r="BS210" s="17">
        <f>BS208-BS209</f>
        <v>0</v>
      </c>
      <c r="BT210" t="s">
        <v>0</v>
      </c>
      <c r="CC210" s="17">
        <f>CC208-CC209</f>
        <v>249.3733970876126</v>
      </c>
    </row>
    <row r="211" spans="3:81" x14ac:dyDescent="0.35">
      <c r="C211" s="6">
        <f t="shared" si="150"/>
        <v>9</v>
      </c>
      <c r="D211" s="3">
        <f t="shared" si="149"/>
        <v>0</v>
      </c>
    </row>
    <row r="212" spans="3:81" x14ac:dyDescent="0.35">
      <c r="C212" s="6">
        <f t="shared" si="150"/>
        <v>10</v>
      </c>
      <c r="D212" s="3">
        <f t="shared" si="149"/>
        <v>0</v>
      </c>
    </row>
    <row r="213" spans="3:81" x14ac:dyDescent="0.35">
      <c r="C213" s="6">
        <f t="shared" si="150"/>
        <v>11</v>
      </c>
      <c r="D213" s="3">
        <f t="shared" si="149"/>
        <v>0</v>
      </c>
    </row>
    <row r="214" spans="3:81" x14ac:dyDescent="0.35">
      <c r="C214" s="6">
        <f t="shared" si="150"/>
        <v>12</v>
      </c>
      <c r="D214" s="3">
        <f t="shared" si="149"/>
        <v>0</v>
      </c>
    </row>
    <row r="215" spans="3:81" x14ac:dyDescent="0.35">
      <c r="C215" s="6">
        <f t="shared" si="150"/>
        <v>13</v>
      </c>
      <c r="D215" s="3">
        <f t="shared" si="149"/>
        <v>0</v>
      </c>
    </row>
    <row r="216" spans="3:81" x14ac:dyDescent="0.35">
      <c r="C216" s="6">
        <f t="shared" si="150"/>
        <v>14</v>
      </c>
      <c r="D216" s="3">
        <f t="shared" si="149"/>
        <v>0</v>
      </c>
    </row>
    <row r="217" spans="3:81" x14ac:dyDescent="0.35">
      <c r="C217" s="6">
        <f t="shared" si="150"/>
        <v>15</v>
      </c>
      <c r="D217" s="3">
        <f t="shared" si="149"/>
        <v>0</v>
      </c>
    </row>
    <row r="218" spans="3:81" x14ac:dyDescent="0.35">
      <c r="C218" s="6">
        <f t="shared" si="150"/>
        <v>16</v>
      </c>
      <c r="D218" s="3">
        <f t="shared" si="149"/>
        <v>0</v>
      </c>
    </row>
    <row r="219" spans="3:81" x14ac:dyDescent="0.35">
      <c r="C219" s="6">
        <f t="shared" si="150"/>
        <v>17</v>
      </c>
      <c r="D219" s="3">
        <f t="shared" si="149"/>
        <v>0</v>
      </c>
    </row>
    <row r="220" spans="3:81" x14ac:dyDescent="0.35">
      <c r="C220" s="6">
        <f t="shared" si="150"/>
        <v>18</v>
      </c>
      <c r="D220" s="3">
        <f t="shared" si="149"/>
        <v>0</v>
      </c>
    </row>
    <row r="221" spans="3:81" x14ac:dyDescent="0.35">
      <c r="C221" s="6">
        <f t="shared" si="150"/>
        <v>19</v>
      </c>
      <c r="D221" s="3">
        <f t="shared" si="149"/>
        <v>0</v>
      </c>
    </row>
    <row r="222" spans="3:81" x14ac:dyDescent="0.35">
      <c r="C222" s="6">
        <f t="shared" si="150"/>
        <v>20</v>
      </c>
      <c r="D222" s="3">
        <f t="shared" si="149"/>
        <v>0</v>
      </c>
    </row>
    <row r="223" spans="3:81" x14ac:dyDescent="0.35">
      <c r="C223" s="6">
        <f t="shared" si="150"/>
        <v>21</v>
      </c>
      <c r="D223" s="3">
        <f t="shared" si="149"/>
        <v>0</v>
      </c>
    </row>
    <row r="224" spans="3:81" x14ac:dyDescent="0.35">
      <c r="C224" s="6">
        <f t="shared" si="150"/>
        <v>22</v>
      </c>
      <c r="D224" s="3">
        <f t="shared" si="149"/>
        <v>0</v>
      </c>
    </row>
    <row r="225" spans="3:4" x14ac:dyDescent="0.35">
      <c r="C225" s="6">
        <f t="shared" si="150"/>
        <v>23</v>
      </c>
      <c r="D225" s="3">
        <f t="shared" si="149"/>
        <v>0</v>
      </c>
    </row>
    <row r="226" spans="3:4" x14ac:dyDescent="0.35">
      <c r="C226" s="6">
        <f t="shared" si="150"/>
        <v>24</v>
      </c>
      <c r="D226" s="3">
        <f t="shared" si="149"/>
        <v>0</v>
      </c>
    </row>
    <row r="227" spans="3:4" x14ac:dyDescent="0.35">
      <c r="C227" s="6">
        <f t="shared" si="150"/>
        <v>25</v>
      </c>
      <c r="D227" s="3">
        <f t="shared" si="149"/>
        <v>0</v>
      </c>
    </row>
    <row r="228" spans="3:4" x14ac:dyDescent="0.35">
      <c r="C228" s="6">
        <f t="shared" si="150"/>
        <v>26</v>
      </c>
      <c r="D228" s="3">
        <f t="shared" si="149"/>
        <v>0</v>
      </c>
    </row>
    <row r="229" spans="3:4" x14ac:dyDescent="0.35">
      <c r="C229" s="6">
        <f t="shared" si="150"/>
        <v>27</v>
      </c>
      <c r="D229" s="3">
        <f t="shared" si="149"/>
        <v>0</v>
      </c>
    </row>
    <row r="230" spans="3:4" x14ac:dyDescent="0.35">
      <c r="C230" s="6">
        <f t="shared" si="150"/>
        <v>28</v>
      </c>
      <c r="D230" s="3">
        <f t="shared" si="149"/>
        <v>0</v>
      </c>
    </row>
    <row r="231" spans="3:4" x14ac:dyDescent="0.35">
      <c r="C231" s="6">
        <f t="shared" si="150"/>
        <v>29</v>
      </c>
      <c r="D231" s="3">
        <f t="shared" si="149"/>
        <v>0</v>
      </c>
    </row>
    <row r="232" spans="3:4" x14ac:dyDescent="0.35">
      <c r="C232" s="6">
        <f t="shared" si="150"/>
        <v>30</v>
      </c>
      <c r="D232" s="3">
        <f t="shared" si="149"/>
        <v>0</v>
      </c>
    </row>
    <row r="233" spans="3:4" x14ac:dyDescent="0.35">
      <c r="C233" s="6">
        <f t="shared" si="150"/>
        <v>31</v>
      </c>
      <c r="D233" s="3">
        <f t="shared" si="149"/>
        <v>0</v>
      </c>
    </row>
    <row r="234" spans="3:4" x14ac:dyDescent="0.35">
      <c r="C234" s="6">
        <f t="shared" si="150"/>
        <v>32</v>
      </c>
      <c r="D234" s="3">
        <f t="shared" si="149"/>
        <v>0</v>
      </c>
    </row>
    <row r="235" spans="3:4" x14ac:dyDescent="0.35">
      <c r="C235" s="6">
        <f t="shared" si="150"/>
        <v>33</v>
      </c>
      <c r="D235" s="3">
        <f t="shared" si="149"/>
        <v>0</v>
      </c>
    </row>
    <row r="236" spans="3:4" x14ac:dyDescent="0.35">
      <c r="C236" s="6">
        <f t="shared" si="150"/>
        <v>34</v>
      </c>
      <c r="D236" s="3">
        <f t="shared" si="149"/>
        <v>0</v>
      </c>
    </row>
    <row r="237" spans="3:4" x14ac:dyDescent="0.35">
      <c r="C237" s="6">
        <f t="shared" si="150"/>
        <v>35</v>
      </c>
      <c r="D237" s="3">
        <f t="shared" si="149"/>
        <v>0</v>
      </c>
    </row>
    <row r="238" spans="3:4" x14ac:dyDescent="0.35">
      <c r="C238" s="6">
        <f t="shared" si="150"/>
        <v>36</v>
      </c>
      <c r="D238" s="3">
        <f t="shared" si="149"/>
        <v>0</v>
      </c>
    </row>
    <row r="239" spans="3:4" x14ac:dyDescent="0.35">
      <c r="C239" s="6">
        <f t="shared" si="150"/>
        <v>37</v>
      </c>
      <c r="D239" s="3">
        <f t="shared" si="149"/>
        <v>0</v>
      </c>
    </row>
    <row r="240" spans="3:4" x14ac:dyDescent="0.35">
      <c r="C240" s="6">
        <f t="shared" si="150"/>
        <v>38</v>
      </c>
      <c r="D240" s="3">
        <f t="shared" si="149"/>
        <v>0</v>
      </c>
    </row>
    <row r="241" spans="3:4" x14ac:dyDescent="0.35">
      <c r="C241" s="6">
        <f t="shared" si="150"/>
        <v>39</v>
      </c>
      <c r="D241" s="3">
        <f t="shared" si="149"/>
        <v>0</v>
      </c>
    </row>
    <row r="242" spans="3:4" x14ac:dyDescent="0.35">
      <c r="C242" s="6">
        <f t="shared" si="150"/>
        <v>40</v>
      </c>
      <c r="D242" s="3">
        <f t="shared" si="149"/>
        <v>0</v>
      </c>
    </row>
    <row r="243" spans="3:4" x14ac:dyDescent="0.35">
      <c r="C243" s="6">
        <f t="shared" si="150"/>
        <v>41</v>
      </c>
      <c r="D243" s="3">
        <f t="shared" si="149"/>
        <v>0</v>
      </c>
    </row>
    <row r="244" spans="3:4" x14ac:dyDescent="0.35">
      <c r="C244" s="6">
        <f t="shared" si="150"/>
        <v>42</v>
      </c>
      <c r="D244" s="3">
        <f t="shared" si="149"/>
        <v>0</v>
      </c>
    </row>
    <row r="245" spans="3:4" x14ac:dyDescent="0.35">
      <c r="C245" s="6">
        <f t="shared" si="150"/>
        <v>43</v>
      </c>
      <c r="D245" s="3">
        <f t="shared" si="149"/>
        <v>0</v>
      </c>
    </row>
    <row r="246" spans="3:4" x14ac:dyDescent="0.35">
      <c r="C246" s="6">
        <f t="shared" si="150"/>
        <v>44</v>
      </c>
      <c r="D246" s="3">
        <f t="shared" si="149"/>
        <v>0</v>
      </c>
    </row>
    <row r="247" spans="3:4" x14ac:dyDescent="0.35">
      <c r="C247" s="6">
        <f t="shared" si="150"/>
        <v>45</v>
      </c>
      <c r="D247" s="3">
        <f t="shared" si="149"/>
        <v>0</v>
      </c>
    </row>
    <row r="248" spans="3:4" x14ac:dyDescent="0.35">
      <c r="C248" s="6">
        <f t="shared" si="150"/>
        <v>46</v>
      </c>
      <c r="D248" s="3">
        <f t="shared" si="149"/>
        <v>0</v>
      </c>
    </row>
    <row r="249" spans="3:4" x14ac:dyDescent="0.35">
      <c r="C249" s="6">
        <f t="shared" si="150"/>
        <v>47</v>
      </c>
      <c r="D249" s="3">
        <f t="shared" si="149"/>
        <v>0</v>
      </c>
    </row>
    <row r="250" spans="3:4" x14ac:dyDescent="0.35">
      <c r="C250" s="6">
        <f t="shared" si="150"/>
        <v>48</v>
      </c>
      <c r="D250" s="3">
        <f t="shared" si="149"/>
        <v>0</v>
      </c>
    </row>
    <row r="251" spans="3:4" x14ac:dyDescent="0.35">
      <c r="C251" s="6">
        <f t="shared" si="150"/>
        <v>49</v>
      </c>
      <c r="D251" s="3">
        <f t="shared" si="149"/>
        <v>0</v>
      </c>
    </row>
    <row r="252" spans="3:4" x14ac:dyDescent="0.35">
      <c r="C252" s="6">
        <f t="shared" si="150"/>
        <v>50</v>
      </c>
      <c r="D252" s="3">
        <f t="shared" si="149"/>
        <v>0</v>
      </c>
    </row>
    <row r="253" spans="3:4" x14ac:dyDescent="0.35">
      <c r="C253" s="6">
        <f t="shared" si="150"/>
        <v>51</v>
      </c>
      <c r="D253" s="3">
        <f t="shared" si="149"/>
        <v>0</v>
      </c>
    </row>
    <row r="254" spans="3:4" x14ac:dyDescent="0.35">
      <c r="C254" s="6">
        <f t="shared" si="150"/>
        <v>52</v>
      </c>
      <c r="D254" s="3">
        <f t="shared" si="149"/>
        <v>0</v>
      </c>
    </row>
    <row r="255" spans="3:4" x14ac:dyDescent="0.35">
      <c r="C255" s="6">
        <f t="shared" si="150"/>
        <v>53</v>
      </c>
      <c r="D255" s="3">
        <f t="shared" si="149"/>
        <v>0</v>
      </c>
    </row>
    <row r="256" spans="3:4" x14ac:dyDescent="0.35">
      <c r="C256" s="6">
        <f t="shared" si="150"/>
        <v>54</v>
      </c>
      <c r="D256" s="3">
        <f t="shared" si="149"/>
        <v>0</v>
      </c>
    </row>
    <row r="257" spans="3:4" x14ac:dyDescent="0.35">
      <c r="C257" s="6">
        <f t="shared" si="150"/>
        <v>55</v>
      </c>
      <c r="D257" s="3">
        <f t="shared" si="149"/>
        <v>0</v>
      </c>
    </row>
    <row r="258" spans="3:4" x14ac:dyDescent="0.35">
      <c r="C258" s="6">
        <f t="shared" si="150"/>
        <v>56</v>
      </c>
      <c r="D258" s="3">
        <f t="shared" si="149"/>
        <v>0</v>
      </c>
    </row>
    <row r="259" spans="3:4" x14ac:dyDescent="0.35">
      <c r="C259" s="6">
        <f t="shared" si="150"/>
        <v>57</v>
      </c>
      <c r="D259" s="3">
        <f t="shared" si="149"/>
        <v>0</v>
      </c>
    </row>
    <row r="260" spans="3:4" x14ac:dyDescent="0.35">
      <c r="C260" s="6">
        <f t="shared" si="150"/>
        <v>58</v>
      </c>
      <c r="D260" s="3">
        <f t="shared" si="149"/>
        <v>0</v>
      </c>
    </row>
    <row r="261" spans="3:4" x14ac:dyDescent="0.35">
      <c r="C261" s="6">
        <f t="shared" si="150"/>
        <v>59</v>
      </c>
      <c r="D261" s="3">
        <f t="shared" si="149"/>
        <v>0</v>
      </c>
    </row>
    <row r="262" spans="3:4" x14ac:dyDescent="0.35">
      <c r="C262" s="6">
        <f t="shared" si="150"/>
        <v>60</v>
      </c>
      <c r="D262" s="3">
        <f t="shared" si="149"/>
        <v>0</v>
      </c>
    </row>
    <row r="263" spans="3:4" x14ac:dyDescent="0.35">
      <c r="C263" s="6">
        <f t="shared" si="150"/>
        <v>61</v>
      </c>
      <c r="D263" s="3">
        <f t="shared" si="149"/>
        <v>0</v>
      </c>
    </row>
    <row r="264" spans="3:4" x14ac:dyDescent="0.35">
      <c r="C264" s="6">
        <f t="shared" si="150"/>
        <v>62</v>
      </c>
      <c r="D264" s="3">
        <f t="shared" si="149"/>
        <v>0</v>
      </c>
    </row>
    <row r="265" spans="3:4" x14ac:dyDescent="0.35">
      <c r="C265" s="6">
        <f t="shared" si="150"/>
        <v>63</v>
      </c>
      <c r="D265" s="3">
        <f t="shared" si="149"/>
        <v>0</v>
      </c>
    </row>
    <row r="266" spans="3:4" x14ac:dyDescent="0.35">
      <c r="C266" s="6">
        <f t="shared" si="150"/>
        <v>64</v>
      </c>
      <c r="D266" s="3">
        <f t="shared" si="149"/>
        <v>0</v>
      </c>
    </row>
    <row r="267" spans="3:4" x14ac:dyDescent="0.35">
      <c r="C267" s="6">
        <f t="shared" si="150"/>
        <v>65</v>
      </c>
      <c r="D267" s="3">
        <f t="shared" ref="D267:D330" si="151">IF(INDEX($P$106:$P$196,MATCH(C269,$C$106:$C$196,1))=0,0,INDEX($O$106:$O$196,MATCH(C269,$C$106:$C$196,1)))</f>
        <v>0</v>
      </c>
    </row>
    <row r="268" spans="3:4" x14ac:dyDescent="0.35">
      <c r="C268" s="6">
        <f t="shared" ref="C268:C331" si="152">C267+1</f>
        <v>66</v>
      </c>
      <c r="D268" s="3">
        <f t="shared" si="151"/>
        <v>0</v>
      </c>
    </row>
    <row r="269" spans="3:4" x14ac:dyDescent="0.35">
      <c r="C269" s="6">
        <f t="shared" si="152"/>
        <v>67</v>
      </c>
      <c r="D269" s="3">
        <f t="shared" si="151"/>
        <v>0</v>
      </c>
    </row>
    <row r="270" spans="3:4" x14ac:dyDescent="0.35">
      <c r="C270" s="6">
        <f t="shared" si="152"/>
        <v>68</v>
      </c>
      <c r="D270" s="3">
        <f t="shared" si="151"/>
        <v>0</v>
      </c>
    </row>
    <row r="271" spans="3:4" x14ac:dyDescent="0.35">
      <c r="C271" s="6">
        <f t="shared" si="152"/>
        <v>69</v>
      </c>
      <c r="D271" s="3">
        <f t="shared" si="151"/>
        <v>0</v>
      </c>
    </row>
    <row r="272" spans="3:4" x14ac:dyDescent="0.35">
      <c r="C272" s="6">
        <f t="shared" si="152"/>
        <v>70</v>
      </c>
      <c r="D272" s="3">
        <f t="shared" si="151"/>
        <v>0</v>
      </c>
    </row>
    <row r="273" spans="3:4" x14ac:dyDescent="0.35">
      <c r="C273" s="6">
        <f t="shared" si="152"/>
        <v>71</v>
      </c>
      <c r="D273" s="3">
        <f t="shared" si="151"/>
        <v>0</v>
      </c>
    </row>
    <row r="274" spans="3:4" x14ac:dyDescent="0.35">
      <c r="C274" s="6">
        <f t="shared" si="152"/>
        <v>72</v>
      </c>
      <c r="D274" s="3">
        <f t="shared" si="151"/>
        <v>0</v>
      </c>
    </row>
    <row r="275" spans="3:4" x14ac:dyDescent="0.35">
      <c r="C275" s="6">
        <f t="shared" si="152"/>
        <v>73</v>
      </c>
      <c r="D275" s="3">
        <f t="shared" si="151"/>
        <v>0</v>
      </c>
    </row>
    <row r="276" spans="3:4" x14ac:dyDescent="0.35">
      <c r="C276" s="6">
        <f t="shared" si="152"/>
        <v>74</v>
      </c>
      <c r="D276" s="3">
        <f t="shared" si="151"/>
        <v>0</v>
      </c>
    </row>
    <row r="277" spans="3:4" x14ac:dyDescent="0.35">
      <c r="C277" s="6">
        <f t="shared" si="152"/>
        <v>75</v>
      </c>
      <c r="D277" s="3">
        <f t="shared" si="151"/>
        <v>0</v>
      </c>
    </row>
    <row r="278" spans="3:4" x14ac:dyDescent="0.35">
      <c r="C278" s="6">
        <f t="shared" si="152"/>
        <v>76</v>
      </c>
      <c r="D278" s="3">
        <f t="shared" si="151"/>
        <v>0</v>
      </c>
    </row>
    <row r="279" spans="3:4" x14ac:dyDescent="0.35">
      <c r="C279" s="6">
        <f t="shared" si="152"/>
        <v>77</v>
      </c>
      <c r="D279" s="3">
        <f t="shared" si="151"/>
        <v>0</v>
      </c>
    </row>
    <row r="280" spans="3:4" x14ac:dyDescent="0.35">
      <c r="C280" s="6">
        <f t="shared" si="152"/>
        <v>78</v>
      </c>
      <c r="D280" s="3">
        <f t="shared" si="151"/>
        <v>0</v>
      </c>
    </row>
    <row r="281" spans="3:4" x14ac:dyDescent="0.35">
      <c r="C281" s="6">
        <f t="shared" si="152"/>
        <v>79</v>
      </c>
      <c r="D281" s="3">
        <f t="shared" si="151"/>
        <v>0</v>
      </c>
    </row>
    <row r="282" spans="3:4" x14ac:dyDescent="0.35">
      <c r="C282" s="6">
        <f t="shared" si="152"/>
        <v>80</v>
      </c>
      <c r="D282" s="3">
        <f t="shared" si="151"/>
        <v>0</v>
      </c>
    </row>
    <row r="283" spans="3:4" x14ac:dyDescent="0.35">
      <c r="C283" s="6">
        <f t="shared" si="152"/>
        <v>81</v>
      </c>
      <c r="D283" s="3">
        <f t="shared" si="151"/>
        <v>0</v>
      </c>
    </row>
    <row r="284" spans="3:4" x14ac:dyDescent="0.35">
      <c r="C284" s="6">
        <f t="shared" si="152"/>
        <v>82</v>
      </c>
      <c r="D284" s="3">
        <f t="shared" si="151"/>
        <v>0</v>
      </c>
    </row>
    <row r="285" spans="3:4" x14ac:dyDescent="0.35">
      <c r="C285" s="6">
        <f t="shared" si="152"/>
        <v>83</v>
      </c>
      <c r="D285" s="3">
        <f t="shared" si="151"/>
        <v>0</v>
      </c>
    </row>
    <row r="286" spans="3:4" x14ac:dyDescent="0.35">
      <c r="C286" s="6">
        <f t="shared" si="152"/>
        <v>84</v>
      </c>
      <c r="D286" s="3">
        <f t="shared" si="151"/>
        <v>0</v>
      </c>
    </row>
    <row r="287" spans="3:4" x14ac:dyDescent="0.35">
      <c r="C287" s="6">
        <f t="shared" si="152"/>
        <v>85</v>
      </c>
      <c r="D287" s="3">
        <f t="shared" si="151"/>
        <v>0</v>
      </c>
    </row>
    <row r="288" spans="3:4" x14ac:dyDescent="0.35">
      <c r="C288" s="6">
        <f t="shared" si="152"/>
        <v>86</v>
      </c>
      <c r="D288" s="3">
        <f t="shared" si="151"/>
        <v>0.84052598023189851</v>
      </c>
    </row>
    <row r="289" spans="3:4" x14ac:dyDescent="0.35">
      <c r="C289" s="6">
        <f t="shared" si="152"/>
        <v>87</v>
      </c>
      <c r="D289" s="3">
        <f t="shared" si="151"/>
        <v>0.84052598023189851</v>
      </c>
    </row>
    <row r="290" spans="3:4" x14ac:dyDescent="0.35">
      <c r="C290" s="6">
        <f t="shared" si="152"/>
        <v>88</v>
      </c>
      <c r="D290" s="3">
        <f t="shared" si="151"/>
        <v>0.85062471126662254</v>
      </c>
    </row>
    <row r="291" spans="3:4" x14ac:dyDescent="0.35">
      <c r="C291" s="6">
        <f t="shared" si="152"/>
        <v>89</v>
      </c>
      <c r="D291" s="3">
        <f t="shared" si="151"/>
        <v>0.85062471126662254</v>
      </c>
    </row>
    <row r="292" spans="3:4" x14ac:dyDescent="0.35">
      <c r="C292" s="6">
        <f t="shared" si="152"/>
        <v>90</v>
      </c>
      <c r="D292" s="3">
        <f t="shared" si="151"/>
        <v>0.86048513907577351</v>
      </c>
    </row>
    <row r="293" spans="3:4" x14ac:dyDescent="0.35">
      <c r="C293" s="6">
        <f t="shared" si="152"/>
        <v>91</v>
      </c>
      <c r="D293" s="3">
        <f t="shared" si="151"/>
        <v>0.86048513907577351</v>
      </c>
    </row>
    <row r="294" spans="3:4" x14ac:dyDescent="0.35">
      <c r="C294" s="6">
        <f t="shared" si="152"/>
        <v>92</v>
      </c>
      <c r="D294" s="3">
        <f t="shared" si="151"/>
        <v>0.87010276038056622</v>
      </c>
    </row>
    <row r="295" spans="3:4" x14ac:dyDescent="0.35">
      <c r="C295" s="6">
        <f t="shared" si="152"/>
        <v>93</v>
      </c>
      <c r="D295" s="3">
        <f t="shared" si="151"/>
        <v>0.87010276038056622</v>
      </c>
    </row>
    <row r="296" spans="3:4" x14ac:dyDescent="0.35">
      <c r="C296" s="6">
        <f t="shared" si="152"/>
        <v>94</v>
      </c>
      <c r="D296" s="3">
        <f t="shared" si="151"/>
        <v>0.87947358746020576</v>
      </c>
    </row>
    <row r="297" spans="3:4" x14ac:dyDescent="0.35">
      <c r="C297" s="6">
        <f t="shared" si="152"/>
        <v>95</v>
      </c>
      <c r="D297" s="3">
        <f t="shared" si="151"/>
        <v>0.87947358746020576</v>
      </c>
    </row>
    <row r="298" spans="3:4" x14ac:dyDescent="0.35">
      <c r="C298" s="6">
        <f t="shared" si="152"/>
        <v>96</v>
      </c>
      <c r="D298" s="3">
        <f t="shared" si="151"/>
        <v>0.88859414104499745</v>
      </c>
    </row>
    <row r="299" spans="3:4" x14ac:dyDescent="0.35">
      <c r="C299" s="6">
        <f t="shared" si="152"/>
        <v>97</v>
      </c>
      <c r="D299" s="3">
        <f t="shared" si="151"/>
        <v>0.88859414104499745</v>
      </c>
    </row>
    <row r="300" spans="3:4" x14ac:dyDescent="0.35">
      <c r="C300" s="6">
        <f t="shared" si="152"/>
        <v>98</v>
      </c>
      <c r="D300" s="3">
        <f t="shared" si="151"/>
        <v>0.89746144107055936</v>
      </c>
    </row>
    <row r="301" spans="3:4" x14ac:dyDescent="0.35">
      <c r="C301" s="6">
        <f t="shared" si="152"/>
        <v>99</v>
      </c>
      <c r="D301" s="3">
        <f t="shared" si="151"/>
        <v>0.89746144107055936</v>
      </c>
    </row>
    <row r="302" spans="3:4" x14ac:dyDescent="0.35">
      <c r="C302" s="6">
        <f t="shared" si="152"/>
        <v>100</v>
      </c>
      <c r="D302" s="3">
        <f t="shared" si="151"/>
        <v>0.90607299548470466</v>
      </c>
    </row>
    <row r="303" spans="3:4" x14ac:dyDescent="0.35">
      <c r="C303" s="6">
        <f t="shared" si="152"/>
        <v>101</v>
      </c>
      <c r="D303" s="3">
        <f t="shared" si="151"/>
        <v>0.90607299548470466</v>
      </c>
    </row>
    <row r="304" spans="3:4" x14ac:dyDescent="0.35">
      <c r="C304" s="6">
        <f t="shared" si="152"/>
        <v>102</v>
      </c>
      <c r="D304" s="3">
        <f t="shared" si="151"/>
        <v>0.91442678730494376</v>
      </c>
    </row>
    <row r="305" spans="3:4" x14ac:dyDescent="0.35">
      <c r="C305" s="6">
        <f t="shared" si="152"/>
        <v>103</v>
      </c>
      <c r="D305" s="3">
        <f t="shared" si="151"/>
        <v>0.91442678730494376</v>
      </c>
    </row>
    <row r="306" spans="3:4" x14ac:dyDescent="0.35">
      <c r="C306" s="6">
        <f t="shared" si="152"/>
        <v>104</v>
      </c>
      <c r="D306" s="3">
        <f t="shared" si="151"/>
        <v>0.9225212601278584</v>
      </c>
    </row>
    <row r="307" spans="3:4" x14ac:dyDescent="0.35">
      <c r="C307" s="6">
        <f t="shared" si="152"/>
        <v>105</v>
      </c>
      <c r="D307" s="3">
        <f t="shared" si="151"/>
        <v>0.9225212601278584</v>
      </c>
    </row>
    <row r="308" spans="3:4" x14ac:dyDescent="0.35">
      <c r="C308" s="6">
        <f t="shared" si="152"/>
        <v>106</v>
      </c>
      <c r="D308" s="3">
        <f t="shared" si="151"/>
        <v>0.93035530229199426</v>
      </c>
    </row>
    <row r="309" spans="3:4" x14ac:dyDescent="0.35">
      <c r="C309" s="6">
        <f t="shared" si="152"/>
        <v>107</v>
      </c>
      <c r="D309" s="3">
        <f t="shared" si="151"/>
        <v>0.93035530229199426</v>
      </c>
    </row>
    <row r="310" spans="3:4" x14ac:dyDescent="0.35">
      <c r="C310" s="6">
        <f t="shared" si="152"/>
        <v>108</v>
      </c>
      <c r="D310" s="3">
        <f t="shared" si="151"/>
        <v>0.93792822989361058</v>
      </c>
    </row>
    <row r="311" spans="3:4" x14ac:dyDescent="0.35">
      <c r="C311" s="6">
        <f t="shared" si="152"/>
        <v>109</v>
      </c>
      <c r="D311" s="3">
        <f t="shared" si="151"/>
        <v>0.93792822989361058</v>
      </c>
    </row>
    <row r="312" spans="3:4" x14ac:dyDescent="0.35">
      <c r="C312" s="6">
        <f t="shared" si="152"/>
        <v>110</v>
      </c>
      <c r="D312" s="3">
        <f t="shared" si="151"/>
        <v>0.94523976884984484</v>
      </c>
    </row>
    <row r="313" spans="3:4" x14ac:dyDescent="0.35">
      <c r="C313" s="6">
        <f t="shared" si="152"/>
        <v>111</v>
      </c>
      <c r="D313" s="3">
        <f t="shared" si="151"/>
        <v>0.94523976884984484</v>
      </c>
    </row>
    <row r="314" spans="3:4" x14ac:dyDescent="0.35">
      <c r="C314" s="6">
        <f t="shared" si="152"/>
        <v>112</v>
      </c>
      <c r="D314" s="3">
        <f t="shared" si="151"/>
        <v>0.95229003619692332</v>
      </c>
    </row>
    <row r="315" spans="3:4" x14ac:dyDescent="0.35">
      <c r="C315" s="6">
        <f t="shared" si="152"/>
        <v>113</v>
      </c>
      <c r="D315" s="3">
        <f t="shared" si="151"/>
        <v>0.95229003619692332</v>
      </c>
    </row>
    <row r="316" spans="3:4" x14ac:dyDescent="0.35">
      <c r="C316" s="6">
        <f t="shared" si="152"/>
        <v>114</v>
      </c>
      <c r="D316" s="3">
        <f t="shared" si="151"/>
        <v>0.95907952080219339</v>
      </c>
    </row>
    <row r="317" spans="3:4" x14ac:dyDescent="0.35">
      <c r="C317" s="6">
        <f t="shared" si="152"/>
        <v>115</v>
      </c>
      <c r="D317" s="3">
        <f t="shared" si="151"/>
        <v>0.95907952080219339</v>
      </c>
    </row>
    <row r="318" spans="3:4" x14ac:dyDescent="0.35">
      <c r="C318" s="6">
        <f t="shared" si="152"/>
        <v>116</v>
      </c>
      <c r="D318" s="3">
        <f t="shared" si="151"/>
        <v>0.96560906365836863</v>
      </c>
    </row>
    <row r="319" spans="3:4" x14ac:dyDescent="0.35">
      <c r="C319" s="6">
        <f t="shared" si="152"/>
        <v>117</v>
      </c>
      <c r="D319" s="3">
        <f t="shared" si="151"/>
        <v>0.96560906365836863</v>
      </c>
    </row>
    <row r="320" spans="3:4" x14ac:dyDescent="0.35">
      <c r="C320" s="6">
        <f t="shared" si="152"/>
        <v>118</v>
      </c>
      <c r="D320" s="3">
        <f t="shared" si="151"/>
        <v>0.9718798379167195</v>
      </c>
    </row>
    <row r="321" spans="3:4" x14ac:dyDescent="0.35">
      <c r="C321" s="6">
        <f t="shared" si="152"/>
        <v>119</v>
      </c>
      <c r="D321" s="3">
        <f t="shared" si="151"/>
        <v>0.9718798379167195</v>
      </c>
    </row>
    <row r="322" spans="3:4" x14ac:dyDescent="0.35">
      <c r="C322" s="6">
        <f t="shared" si="152"/>
        <v>120</v>
      </c>
      <c r="D322" s="3">
        <f t="shared" si="151"/>
        <v>0.97789332880336322</v>
      </c>
    </row>
    <row r="323" spans="3:4" x14ac:dyDescent="0.35">
      <c r="C323" s="6">
        <f t="shared" si="152"/>
        <v>121</v>
      </c>
      <c r="D323" s="3">
        <f t="shared" si="151"/>
        <v>0.97789332880336322</v>
      </c>
    </row>
    <row r="324" spans="3:4" x14ac:dyDescent="0.35">
      <c r="C324" s="6">
        <f t="shared" si="152"/>
        <v>122</v>
      </c>
      <c r="D324" s="3">
        <f t="shared" si="151"/>
        <v>0.98365131354959168</v>
      </c>
    </row>
    <row r="325" spans="3:4" x14ac:dyDescent="0.35">
      <c r="C325" s="6">
        <f t="shared" si="152"/>
        <v>123</v>
      </c>
      <c r="D325" s="3">
        <f t="shared" si="151"/>
        <v>0.98365131354959168</v>
      </c>
    </row>
    <row r="326" spans="3:4" x14ac:dyDescent="0.35">
      <c r="C326" s="6">
        <f t="shared" si="152"/>
        <v>124</v>
      </c>
      <c r="D326" s="3">
        <f t="shared" si="151"/>
        <v>0.98915584145366187</v>
      </c>
    </row>
    <row r="327" spans="3:4" x14ac:dyDescent="0.35">
      <c r="C327" s="6">
        <f t="shared" si="152"/>
        <v>125</v>
      </c>
      <c r="D327" s="3">
        <f t="shared" si="151"/>
        <v>0.98915584145366187</v>
      </c>
    </row>
    <row r="328" spans="3:4" x14ac:dyDescent="0.35">
      <c r="C328" s="6">
        <f t="shared" si="152"/>
        <v>126</v>
      </c>
      <c r="D328" s="3">
        <f t="shared" si="151"/>
        <v>0.99440921417788164</v>
      </c>
    </row>
    <row r="329" spans="3:4" x14ac:dyDescent="0.35">
      <c r="C329" s="6">
        <f t="shared" si="152"/>
        <v>127</v>
      </c>
      <c r="D329" s="3">
        <f t="shared" si="151"/>
        <v>0.99440921417788164</v>
      </c>
    </row>
    <row r="330" spans="3:4" x14ac:dyDescent="0.35">
      <c r="C330" s="6">
        <f t="shared" si="152"/>
        <v>128</v>
      </c>
      <c r="D330" s="3">
        <f t="shared" si="151"/>
        <v>0.99941396637145541</v>
      </c>
    </row>
    <row r="331" spans="3:4" x14ac:dyDescent="0.35">
      <c r="C331" s="6">
        <f t="shared" si="152"/>
        <v>129</v>
      </c>
      <c r="D331" s="3">
        <f t="shared" ref="D331:D394" si="153">IF(INDEX($P$106:$P$196,MATCH(C333,$C$106:$C$196,1))=0,0,INDEX($O$106:$O$196,MATCH(C333,$C$106:$C$196,1)))</f>
        <v>0.99941396637145541</v>
      </c>
    </row>
    <row r="332" spans="3:4" x14ac:dyDescent="0.35">
      <c r="C332" s="6">
        <f t="shared" ref="C332:C395" si="154">C331+1</f>
        <v>130</v>
      </c>
      <c r="D332" s="3">
        <f t="shared" si="153"/>
        <v>1.0041728466966038</v>
      </c>
    </row>
    <row r="333" spans="3:4" x14ac:dyDescent="0.35">
      <c r="C333" s="6">
        <f t="shared" si="154"/>
        <v>131</v>
      </c>
      <c r="D333" s="3">
        <f t="shared" si="153"/>
        <v>1.0041728466966038</v>
      </c>
    </row>
    <row r="334" spans="3:4" x14ac:dyDescent="0.35">
      <c r="C334" s="6">
        <f t="shared" si="154"/>
        <v>132</v>
      </c>
      <c r="D334" s="3">
        <f t="shared" si="153"/>
        <v>1.0086887993231373</v>
      </c>
    </row>
    <row r="335" spans="3:4" x14ac:dyDescent="0.35">
      <c r="C335" s="6">
        <f t="shared" si="154"/>
        <v>133</v>
      </c>
      <c r="D335" s="3">
        <f t="shared" si="153"/>
        <v>1.0086887993231373</v>
      </c>
    </row>
    <row r="336" spans="3:4" x14ac:dyDescent="0.35">
      <c r="C336" s="6">
        <f t="shared" si="154"/>
        <v>134</v>
      </c>
      <c r="D336" s="3">
        <f t="shared" si="153"/>
        <v>1.0129649459451089</v>
      </c>
    </row>
    <row r="337" spans="3:4" x14ac:dyDescent="0.35">
      <c r="C337" s="6">
        <f t="shared" si="154"/>
        <v>135</v>
      </c>
      <c r="D337" s="3">
        <f t="shared" si="153"/>
        <v>1.0129649459451089</v>
      </c>
    </row>
    <row r="338" spans="3:4" x14ac:dyDescent="0.35">
      <c r="C338" s="6">
        <f t="shared" si="154"/>
        <v>136</v>
      </c>
      <c r="D338" s="3">
        <f t="shared" si="153"/>
        <v>1.0170045683624895</v>
      </c>
    </row>
    <row r="339" spans="3:4" x14ac:dyDescent="0.35">
      <c r="C339" s="6">
        <f t="shared" si="154"/>
        <v>137</v>
      </c>
      <c r="D339" s="3">
        <f t="shared" si="153"/>
        <v>1.0170045683624895</v>
      </c>
    </row>
    <row r="340" spans="3:4" x14ac:dyDescent="0.35">
      <c r="C340" s="6">
        <f t="shared" si="154"/>
        <v>138</v>
      </c>
      <c r="D340" s="3">
        <f t="shared" si="153"/>
        <v>1.0208110916611342</v>
      </c>
    </row>
    <row r="341" spans="3:4" x14ac:dyDescent="0.35">
      <c r="C341" s="6">
        <f t="shared" si="154"/>
        <v>139</v>
      </c>
      <c r="D341" s="3">
        <f t="shared" si="153"/>
        <v>1.0208110916611342</v>
      </c>
    </row>
    <row r="342" spans="3:4" x14ac:dyDescent="0.35">
      <c r="C342" s="6">
        <f t="shared" si="154"/>
        <v>140</v>
      </c>
      <c r="D342" s="3">
        <f t="shared" si="153"/>
        <v>1.0243880680156414</v>
      </c>
    </row>
    <row r="343" spans="3:4" x14ac:dyDescent="0.35">
      <c r="C343" s="6">
        <f t="shared" si="154"/>
        <v>141</v>
      </c>
      <c r="D343" s="3">
        <f t="shared" si="153"/>
        <v>1.0243880680156414</v>
      </c>
    </row>
    <row r="344" spans="3:4" x14ac:dyDescent="0.35">
      <c r="C344" s="6">
        <f t="shared" si="154"/>
        <v>142</v>
      </c>
      <c r="D344" s="3">
        <f t="shared" si="153"/>
        <v>1.0277391611320941</v>
      </c>
    </row>
    <row r="345" spans="3:4" x14ac:dyDescent="0.35">
      <c r="C345" s="6">
        <f t="shared" si="154"/>
        <v>143</v>
      </c>
      <c r="D345" s="3">
        <f t="shared" si="153"/>
        <v>1.0277391611320941</v>
      </c>
    </row>
    <row r="346" spans="3:4" x14ac:dyDescent="0.35">
      <c r="C346" s="6">
        <f t="shared" si="154"/>
        <v>144</v>
      </c>
      <c r="D346" s="3">
        <f t="shared" si="153"/>
        <v>1.030868131341097</v>
      </c>
    </row>
    <row r="347" spans="3:4" x14ac:dyDescent="0.35">
      <c r="C347" s="6">
        <f t="shared" si="154"/>
        <v>145</v>
      </c>
      <c r="D347" s="3">
        <f t="shared" si="153"/>
        <v>1.030868131341097</v>
      </c>
    </row>
    <row r="348" spans="3:4" x14ac:dyDescent="0.35">
      <c r="C348" s="6">
        <f t="shared" si="154"/>
        <v>146</v>
      </c>
      <c r="D348" s="3">
        <f t="shared" si="153"/>
        <v>1.0337788213459533</v>
      </c>
    </row>
    <row r="349" spans="3:4" x14ac:dyDescent="0.35">
      <c r="C349" s="6">
        <f t="shared" si="154"/>
        <v>147</v>
      </c>
      <c r="D349" s="3">
        <f t="shared" si="153"/>
        <v>1.0337788213459533</v>
      </c>
    </row>
    <row r="350" spans="3:4" x14ac:dyDescent="0.35">
      <c r="C350" s="6">
        <f t="shared" si="154"/>
        <v>148</v>
      </c>
      <c r="D350" s="3">
        <f t="shared" si="153"/>
        <v>1.0364751426261867</v>
      </c>
    </row>
    <row r="351" spans="3:4" x14ac:dyDescent="0.35">
      <c r="C351" s="6">
        <f t="shared" si="154"/>
        <v>149</v>
      </c>
      <c r="D351" s="3">
        <f t="shared" si="153"/>
        <v>1.0364751426261867</v>
      </c>
    </row>
    <row r="352" spans="3:4" x14ac:dyDescent="0.35">
      <c r="C352" s="6">
        <f t="shared" si="154"/>
        <v>150</v>
      </c>
      <c r="D352" s="3">
        <f t="shared" si="153"/>
        <v>1.0389610624928545</v>
      </c>
    </row>
    <row r="353" spans="3:4" x14ac:dyDescent="0.35">
      <c r="C353" s="6">
        <f t="shared" si="154"/>
        <v>151</v>
      </c>
      <c r="D353" s="3">
        <f t="shared" si="153"/>
        <v>1.0389610624928545</v>
      </c>
    </row>
    <row r="354" spans="3:4" x14ac:dyDescent="0.35">
      <c r="C354" s="6">
        <f t="shared" si="154"/>
        <v>152</v>
      </c>
      <c r="D354" s="3">
        <f t="shared" si="153"/>
        <v>1.0412405917890941</v>
      </c>
    </row>
    <row r="355" spans="3:4" x14ac:dyDescent="0.35">
      <c r="C355" s="6">
        <f t="shared" si="154"/>
        <v>153</v>
      </c>
      <c r="D355" s="3">
        <f t="shared" si="153"/>
        <v>1.0412405917890941</v>
      </c>
    </row>
    <row r="356" spans="3:4" x14ac:dyDescent="0.35">
      <c r="C356" s="6">
        <f t="shared" si="154"/>
        <v>154</v>
      </c>
      <c r="D356" s="3">
        <f t="shared" si="153"/>
        <v>1.043317773227046</v>
      </c>
    </row>
    <row r="357" spans="3:4" x14ac:dyDescent="0.35">
      <c r="C357" s="6">
        <f t="shared" si="154"/>
        <v>155</v>
      </c>
      <c r="D357" s="3">
        <f t="shared" si="153"/>
        <v>1.043317773227046</v>
      </c>
    </row>
    <row r="358" spans="3:4" x14ac:dyDescent="0.35">
      <c r="C358" s="6">
        <f t="shared" si="154"/>
        <v>156</v>
      </c>
      <c r="D358" s="3">
        <f t="shared" si="153"/>
        <v>1.0451966703505424</v>
      </c>
    </row>
    <row r="359" spans="3:4" x14ac:dyDescent="0.35">
      <c r="C359" s="6">
        <f t="shared" si="154"/>
        <v>157</v>
      </c>
      <c r="D359" s="3">
        <f t="shared" si="153"/>
        <v>1.0451966703505424</v>
      </c>
    </row>
    <row r="360" spans="3:4" x14ac:dyDescent="0.35">
      <c r="C360" s="6">
        <f t="shared" si="154"/>
        <v>158</v>
      </c>
      <c r="D360" s="3">
        <f t="shared" si="153"/>
        <v>1.0468813571117059</v>
      </c>
    </row>
    <row r="361" spans="3:4" x14ac:dyDescent="0.35">
      <c r="C361" s="6">
        <f t="shared" si="154"/>
        <v>159</v>
      </c>
      <c r="D361" s="3">
        <f t="shared" si="153"/>
        <v>1.0468813571117059</v>
      </c>
    </row>
    <row r="362" spans="3:4" x14ac:dyDescent="0.35">
      <c r="C362" s="6">
        <f t="shared" si="154"/>
        <v>160</v>
      </c>
      <c r="D362" s="3">
        <f t="shared" si="153"/>
        <v>1.0483759080487032</v>
      </c>
    </row>
    <row r="363" spans="3:4" x14ac:dyDescent="0.35">
      <c r="C363" s="6">
        <f t="shared" si="154"/>
        <v>161</v>
      </c>
      <c r="D363" s="3">
        <f t="shared" si="153"/>
        <v>1.0483759080487032</v>
      </c>
    </row>
    <row r="364" spans="3:4" x14ac:dyDescent="0.35">
      <c r="C364" s="6">
        <f t="shared" si="154"/>
        <v>162</v>
      </c>
      <c r="D364" s="3">
        <f t="shared" si="153"/>
        <v>1.049684389051299</v>
      </c>
    </row>
    <row r="365" spans="3:4" x14ac:dyDescent="0.35">
      <c r="C365" s="6">
        <f t="shared" si="154"/>
        <v>163</v>
      </c>
      <c r="D365" s="3">
        <f t="shared" si="153"/>
        <v>1.049684389051299</v>
      </c>
    </row>
    <row r="366" spans="3:4" x14ac:dyDescent="0.35">
      <c r="C366" s="6">
        <f t="shared" si="154"/>
        <v>164</v>
      </c>
      <c r="D366" s="3">
        <f t="shared" si="153"/>
        <v>1.0508108487004726</v>
      </c>
    </row>
    <row r="367" spans="3:4" x14ac:dyDescent="0.35">
      <c r="C367" s="6">
        <f t="shared" si="154"/>
        <v>165</v>
      </c>
      <c r="D367" s="3">
        <f t="shared" si="153"/>
        <v>1.0508108487004726</v>
      </c>
    </row>
    <row r="368" spans="3:4" x14ac:dyDescent="0.35">
      <c r="C368" s="6">
        <f t="shared" si="154"/>
        <v>166</v>
      </c>
      <c r="D368" s="3">
        <f t="shared" si="153"/>
        <v>1.0517593101680751</v>
      </c>
    </row>
    <row r="369" spans="3:4" x14ac:dyDescent="0.35">
      <c r="C369" s="6">
        <f t="shared" si="154"/>
        <v>167</v>
      </c>
      <c r="D369" s="3">
        <f t="shared" si="153"/>
        <v>1.0517593101680751</v>
      </c>
    </row>
    <row r="370" spans="3:4" x14ac:dyDescent="0.35">
      <c r="C370" s="6">
        <f t="shared" si="154"/>
        <v>168</v>
      </c>
      <c r="D370" s="3">
        <f t="shared" si="153"/>
        <v>1.052533763662328</v>
      </c>
    </row>
    <row r="371" spans="3:4" x14ac:dyDescent="0.35">
      <c r="C371" s="6">
        <f t="shared" si="154"/>
        <v>169</v>
      </c>
      <c r="D371" s="3">
        <f t="shared" si="153"/>
        <v>1.052533763662328</v>
      </c>
    </row>
    <row r="372" spans="3:4" x14ac:dyDescent="0.35">
      <c r="C372" s="6">
        <f t="shared" si="154"/>
        <v>170</v>
      </c>
      <c r="D372" s="3">
        <f t="shared" si="153"/>
        <v>1.0531381594047928</v>
      </c>
    </row>
    <row r="373" spans="3:4" x14ac:dyDescent="0.35">
      <c r="C373" s="6">
        <f t="shared" si="154"/>
        <v>171</v>
      </c>
      <c r="D373" s="3">
        <f t="shared" si="153"/>
        <v>1.0531381594047928</v>
      </c>
    </row>
    <row r="374" spans="3:4" x14ac:dyDescent="0.35">
      <c r="C374" s="6">
        <f t="shared" si="154"/>
        <v>172</v>
      </c>
      <c r="D374" s="3">
        <f t="shared" si="153"/>
        <v>1.0535764011242612</v>
      </c>
    </row>
    <row r="375" spans="3:4" x14ac:dyDescent="0.35">
      <c r="C375" s="6">
        <f t="shared" si="154"/>
        <v>173</v>
      </c>
      <c r="D375" s="3">
        <f t="shared" si="153"/>
        <v>1.0535764011242612</v>
      </c>
    </row>
    <row r="376" spans="3:4" x14ac:dyDescent="0.35">
      <c r="C376" s="6">
        <f t="shared" si="154"/>
        <v>174</v>
      </c>
      <c r="D376" s="3">
        <f t="shared" si="153"/>
        <v>1.0538523400528068</v>
      </c>
    </row>
    <row r="377" spans="3:4" x14ac:dyDescent="0.35">
      <c r="C377" s="6">
        <f t="shared" si="154"/>
        <v>175</v>
      </c>
      <c r="D377" s="3">
        <f t="shared" si="153"/>
        <v>1.0538523400528068</v>
      </c>
    </row>
    <row r="378" spans="3:4" x14ac:dyDescent="0.35">
      <c r="C378" s="6">
        <f t="shared" si="154"/>
        <v>176</v>
      </c>
      <c r="D378" s="3">
        <f t="shared" si="153"/>
        <v>1.0539697694089825</v>
      </c>
    </row>
    <row r="379" spans="3:4" x14ac:dyDescent="0.35">
      <c r="C379" s="6">
        <f t="shared" si="154"/>
        <v>177</v>
      </c>
      <c r="D379" s="3">
        <f t="shared" si="153"/>
        <v>1.0540757637473395</v>
      </c>
    </row>
    <row r="380" spans="3:4" x14ac:dyDescent="0.35">
      <c r="C380" s="6">
        <f t="shared" si="154"/>
        <v>178</v>
      </c>
      <c r="D380" s="3">
        <f t="shared" si="153"/>
        <v>1.0540757637473395</v>
      </c>
    </row>
    <row r="381" spans="3:4" x14ac:dyDescent="0.35">
      <c r="C381" s="6">
        <f t="shared" si="154"/>
        <v>179</v>
      </c>
      <c r="D381" s="3">
        <f t="shared" si="153"/>
        <v>1.0540757637473395</v>
      </c>
    </row>
    <row r="382" spans="3:4" x14ac:dyDescent="0.35">
      <c r="C382" s="6">
        <f t="shared" si="154"/>
        <v>180</v>
      </c>
      <c r="D382" s="3">
        <f t="shared" si="153"/>
        <v>1.0540757637473395</v>
      </c>
    </row>
    <row r="383" spans="3:4" x14ac:dyDescent="0.35">
      <c r="C383" s="6">
        <f t="shared" si="154"/>
        <v>181</v>
      </c>
      <c r="D383" s="3">
        <f t="shared" si="153"/>
        <v>1.0540757637473395</v>
      </c>
    </row>
    <row r="384" spans="3:4" x14ac:dyDescent="0.35">
      <c r="C384" s="6">
        <f t="shared" si="154"/>
        <v>182</v>
      </c>
      <c r="D384" s="3">
        <f t="shared" si="153"/>
        <v>1.0540757637473395</v>
      </c>
    </row>
    <row r="385" spans="3:4" x14ac:dyDescent="0.35">
      <c r="C385" s="6">
        <f t="shared" si="154"/>
        <v>183</v>
      </c>
      <c r="D385" s="3">
        <f t="shared" si="153"/>
        <v>1.0540757637473395</v>
      </c>
    </row>
    <row r="386" spans="3:4" x14ac:dyDescent="0.35">
      <c r="C386" s="6">
        <f t="shared" si="154"/>
        <v>184</v>
      </c>
      <c r="D386" s="3">
        <f t="shared" si="153"/>
        <v>1.0540757637473395</v>
      </c>
    </row>
    <row r="387" spans="3:4" x14ac:dyDescent="0.35">
      <c r="C387" s="6">
        <f t="shared" si="154"/>
        <v>185</v>
      </c>
      <c r="D387" s="3">
        <f t="shared" si="153"/>
        <v>1.0540757637473395</v>
      </c>
    </row>
    <row r="388" spans="3:4" x14ac:dyDescent="0.35">
      <c r="C388" s="6">
        <f t="shared" si="154"/>
        <v>186</v>
      </c>
      <c r="D388" s="3">
        <f t="shared" si="153"/>
        <v>1.0540757637473395</v>
      </c>
    </row>
    <row r="389" spans="3:4" x14ac:dyDescent="0.35">
      <c r="C389" s="6">
        <f t="shared" si="154"/>
        <v>187</v>
      </c>
      <c r="D389" s="3">
        <f t="shared" si="153"/>
        <v>1.0540757637473395</v>
      </c>
    </row>
    <row r="390" spans="3:4" x14ac:dyDescent="0.35">
      <c r="C390" s="6">
        <f t="shared" si="154"/>
        <v>188</v>
      </c>
      <c r="D390" s="3">
        <f t="shared" si="153"/>
        <v>1.0540757637473395</v>
      </c>
    </row>
    <row r="391" spans="3:4" x14ac:dyDescent="0.35">
      <c r="C391" s="6">
        <f t="shared" si="154"/>
        <v>189</v>
      </c>
      <c r="D391" s="3">
        <f t="shared" si="153"/>
        <v>1.0540757637473395</v>
      </c>
    </row>
    <row r="392" spans="3:4" x14ac:dyDescent="0.35">
      <c r="C392" s="6">
        <f t="shared" si="154"/>
        <v>190</v>
      </c>
      <c r="D392" s="3">
        <f t="shared" si="153"/>
        <v>1.0540757637473395</v>
      </c>
    </row>
    <row r="393" spans="3:4" x14ac:dyDescent="0.35">
      <c r="C393" s="6">
        <f t="shared" si="154"/>
        <v>191</v>
      </c>
      <c r="D393" s="3">
        <f t="shared" si="153"/>
        <v>1.0540757637473395</v>
      </c>
    </row>
    <row r="394" spans="3:4" x14ac:dyDescent="0.35">
      <c r="C394" s="6">
        <f t="shared" si="154"/>
        <v>192</v>
      </c>
      <c r="D394" s="3">
        <f t="shared" si="153"/>
        <v>1.0540757637473395</v>
      </c>
    </row>
    <row r="395" spans="3:4" x14ac:dyDescent="0.35">
      <c r="C395" s="6">
        <f t="shared" si="154"/>
        <v>193</v>
      </c>
      <c r="D395" s="3">
        <f t="shared" ref="D395:D458" si="155">IF(INDEX($P$106:$P$196,MATCH(C397,$C$106:$C$196,1))=0,0,INDEX($O$106:$O$196,MATCH(C397,$C$106:$C$196,1)))</f>
        <v>1.0540757637473395</v>
      </c>
    </row>
    <row r="396" spans="3:4" x14ac:dyDescent="0.35">
      <c r="C396" s="6">
        <f t="shared" ref="C396:C459" si="156">C395+1</f>
        <v>194</v>
      </c>
      <c r="D396" s="3">
        <f t="shared" si="155"/>
        <v>1.0540757637473395</v>
      </c>
    </row>
    <row r="397" spans="3:4" x14ac:dyDescent="0.35">
      <c r="C397" s="6">
        <f t="shared" si="156"/>
        <v>195</v>
      </c>
      <c r="D397" s="3">
        <f t="shared" si="155"/>
        <v>1.0540757637473395</v>
      </c>
    </row>
    <row r="398" spans="3:4" x14ac:dyDescent="0.35">
      <c r="C398" s="6">
        <f t="shared" si="156"/>
        <v>196</v>
      </c>
      <c r="D398" s="3">
        <f t="shared" si="155"/>
        <v>1.0540757637473395</v>
      </c>
    </row>
    <row r="399" spans="3:4" x14ac:dyDescent="0.35">
      <c r="C399" s="6">
        <f t="shared" si="156"/>
        <v>197</v>
      </c>
      <c r="D399" s="3">
        <f t="shared" si="155"/>
        <v>1.0540757637473395</v>
      </c>
    </row>
    <row r="400" spans="3:4" x14ac:dyDescent="0.35">
      <c r="C400" s="6">
        <f t="shared" si="156"/>
        <v>198</v>
      </c>
      <c r="D400" s="3">
        <f t="shared" si="155"/>
        <v>1.0540757637473395</v>
      </c>
    </row>
    <row r="401" spans="3:4" x14ac:dyDescent="0.35">
      <c r="C401" s="6">
        <f t="shared" si="156"/>
        <v>199</v>
      </c>
      <c r="D401" s="3">
        <f t="shared" si="155"/>
        <v>1.0540757637473395</v>
      </c>
    </row>
    <row r="402" spans="3:4" x14ac:dyDescent="0.35">
      <c r="C402" s="6">
        <f t="shared" si="156"/>
        <v>200</v>
      </c>
      <c r="D402" s="3">
        <f t="shared" si="155"/>
        <v>1.0540757637473395</v>
      </c>
    </row>
    <row r="403" spans="3:4" x14ac:dyDescent="0.35">
      <c r="C403" s="6">
        <f t="shared" si="156"/>
        <v>201</v>
      </c>
      <c r="D403" s="3">
        <f t="shared" si="155"/>
        <v>1.0540757637473395</v>
      </c>
    </row>
    <row r="404" spans="3:4" x14ac:dyDescent="0.35">
      <c r="C404" s="6">
        <f t="shared" si="156"/>
        <v>202</v>
      </c>
      <c r="D404" s="3">
        <f t="shared" si="155"/>
        <v>1.0540757637473395</v>
      </c>
    </row>
    <row r="405" spans="3:4" x14ac:dyDescent="0.35">
      <c r="C405" s="6">
        <f t="shared" si="156"/>
        <v>203</v>
      </c>
      <c r="D405" s="3">
        <f t="shared" si="155"/>
        <v>1.0540757637473395</v>
      </c>
    </row>
    <row r="406" spans="3:4" x14ac:dyDescent="0.35">
      <c r="C406" s="6">
        <f t="shared" si="156"/>
        <v>204</v>
      </c>
      <c r="D406" s="3">
        <f t="shared" si="155"/>
        <v>1.0540757637473395</v>
      </c>
    </row>
    <row r="407" spans="3:4" x14ac:dyDescent="0.35">
      <c r="C407" s="6">
        <f t="shared" si="156"/>
        <v>205</v>
      </c>
      <c r="D407" s="3">
        <f t="shared" si="155"/>
        <v>1.0540757637473395</v>
      </c>
    </row>
    <row r="408" spans="3:4" x14ac:dyDescent="0.35">
      <c r="C408" s="6">
        <f t="shared" si="156"/>
        <v>206</v>
      </c>
      <c r="D408" s="3">
        <f t="shared" si="155"/>
        <v>1.0540757637473395</v>
      </c>
    </row>
    <row r="409" spans="3:4" x14ac:dyDescent="0.35">
      <c r="C409" s="6">
        <f t="shared" si="156"/>
        <v>207</v>
      </c>
      <c r="D409" s="3">
        <f t="shared" si="155"/>
        <v>1.0540757637473395</v>
      </c>
    </row>
    <row r="410" spans="3:4" x14ac:dyDescent="0.35">
      <c r="C410" s="6">
        <f t="shared" si="156"/>
        <v>208</v>
      </c>
      <c r="D410" s="3">
        <f t="shared" si="155"/>
        <v>1.0540757637473395</v>
      </c>
    </row>
    <row r="411" spans="3:4" x14ac:dyDescent="0.35">
      <c r="C411" s="6">
        <f t="shared" si="156"/>
        <v>209</v>
      </c>
      <c r="D411" s="3">
        <f t="shared" si="155"/>
        <v>1.0540757637473395</v>
      </c>
    </row>
    <row r="412" spans="3:4" x14ac:dyDescent="0.35">
      <c r="C412" s="6">
        <f t="shared" si="156"/>
        <v>210</v>
      </c>
      <c r="D412" s="3">
        <f t="shared" si="155"/>
        <v>1.0540757637473395</v>
      </c>
    </row>
    <row r="413" spans="3:4" x14ac:dyDescent="0.35">
      <c r="C413" s="6">
        <f t="shared" si="156"/>
        <v>211</v>
      </c>
      <c r="D413" s="3">
        <f t="shared" si="155"/>
        <v>1.0540757637473395</v>
      </c>
    </row>
    <row r="414" spans="3:4" x14ac:dyDescent="0.35">
      <c r="C414" s="6">
        <f t="shared" si="156"/>
        <v>212</v>
      </c>
      <c r="D414" s="3">
        <f t="shared" si="155"/>
        <v>1.0540757637473395</v>
      </c>
    </row>
    <row r="415" spans="3:4" x14ac:dyDescent="0.35">
      <c r="C415" s="6">
        <f t="shared" si="156"/>
        <v>213</v>
      </c>
      <c r="D415" s="3">
        <f t="shared" si="155"/>
        <v>1.0540757637473395</v>
      </c>
    </row>
    <row r="416" spans="3:4" x14ac:dyDescent="0.35">
      <c r="C416" s="6">
        <f t="shared" si="156"/>
        <v>214</v>
      </c>
      <c r="D416" s="3">
        <f t="shared" si="155"/>
        <v>1.0540757637473395</v>
      </c>
    </row>
    <row r="417" spans="3:4" x14ac:dyDescent="0.35">
      <c r="C417" s="6">
        <f t="shared" si="156"/>
        <v>215</v>
      </c>
      <c r="D417" s="3">
        <f t="shared" si="155"/>
        <v>1.0540757637473395</v>
      </c>
    </row>
    <row r="418" spans="3:4" x14ac:dyDescent="0.35">
      <c r="C418" s="6">
        <f t="shared" si="156"/>
        <v>216</v>
      </c>
      <c r="D418" s="3">
        <f t="shared" si="155"/>
        <v>1.0540757637473395</v>
      </c>
    </row>
    <row r="419" spans="3:4" x14ac:dyDescent="0.35">
      <c r="C419" s="6">
        <f t="shared" si="156"/>
        <v>217</v>
      </c>
      <c r="D419" s="3">
        <f t="shared" si="155"/>
        <v>1.0540757637473395</v>
      </c>
    </row>
    <row r="420" spans="3:4" x14ac:dyDescent="0.35">
      <c r="C420" s="6">
        <f t="shared" si="156"/>
        <v>218</v>
      </c>
      <c r="D420" s="3">
        <f t="shared" si="155"/>
        <v>1.0540757637473395</v>
      </c>
    </row>
    <row r="421" spans="3:4" x14ac:dyDescent="0.35">
      <c r="C421" s="6">
        <f t="shared" si="156"/>
        <v>219</v>
      </c>
      <c r="D421" s="3">
        <f t="shared" si="155"/>
        <v>1.0540757637473395</v>
      </c>
    </row>
    <row r="422" spans="3:4" x14ac:dyDescent="0.35">
      <c r="C422" s="6">
        <f t="shared" si="156"/>
        <v>220</v>
      </c>
      <c r="D422" s="3">
        <f t="shared" si="155"/>
        <v>1.0540757637473395</v>
      </c>
    </row>
    <row r="423" spans="3:4" x14ac:dyDescent="0.35">
      <c r="C423" s="6">
        <f t="shared" si="156"/>
        <v>221</v>
      </c>
      <c r="D423" s="3">
        <f t="shared" si="155"/>
        <v>1.0540757637473395</v>
      </c>
    </row>
    <row r="424" spans="3:4" x14ac:dyDescent="0.35">
      <c r="C424" s="6">
        <f t="shared" si="156"/>
        <v>222</v>
      </c>
      <c r="D424" s="3">
        <f t="shared" si="155"/>
        <v>1.0540757637473395</v>
      </c>
    </row>
    <row r="425" spans="3:4" x14ac:dyDescent="0.35">
      <c r="C425" s="6">
        <f t="shared" si="156"/>
        <v>223</v>
      </c>
      <c r="D425" s="3">
        <f t="shared" si="155"/>
        <v>1.0540757637473395</v>
      </c>
    </row>
    <row r="426" spans="3:4" x14ac:dyDescent="0.35">
      <c r="C426" s="6">
        <f t="shared" si="156"/>
        <v>224</v>
      </c>
      <c r="D426" s="3">
        <f t="shared" si="155"/>
        <v>1.0540757637473395</v>
      </c>
    </row>
    <row r="427" spans="3:4" x14ac:dyDescent="0.35">
      <c r="C427" s="6">
        <f t="shared" si="156"/>
        <v>225</v>
      </c>
      <c r="D427" s="3">
        <f t="shared" si="155"/>
        <v>1.0540757637473395</v>
      </c>
    </row>
    <row r="428" spans="3:4" x14ac:dyDescent="0.35">
      <c r="C428" s="6">
        <f t="shared" si="156"/>
        <v>226</v>
      </c>
      <c r="D428" s="3">
        <f t="shared" si="155"/>
        <v>1.0540757637473395</v>
      </c>
    </row>
    <row r="429" spans="3:4" x14ac:dyDescent="0.35">
      <c r="C429" s="6">
        <f t="shared" si="156"/>
        <v>227</v>
      </c>
      <c r="D429" s="3">
        <f t="shared" si="155"/>
        <v>1.0540757637473395</v>
      </c>
    </row>
    <row r="430" spans="3:4" x14ac:dyDescent="0.35">
      <c r="C430" s="6">
        <f t="shared" si="156"/>
        <v>228</v>
      </c>
      <c r="D430" s="3">
        <f t="shared" si="155"/>
        <v>1.0540757637473395</v>
      </c>
    </row>
    <row r="431" spans="3:4" x14ac:dyDescent="0.35">
      <c r="C431" s="6">
        <f t="shared" si="156"/>
        <v>229</v>
      </c>
      <c r="D431" s="3">
        <f t="shared" si="155"/>
        <v>1.0540757637473395</v>
      </c>
    </row>
    <row r="432" spans="3:4" x14ac:dyDescent="0.35">
      <c r="C432" s="6">
        <f t="shared" si="156"/>
        <v>230</v>
      </c>
      <c r="D432" s="3">
        <f t="shared" si="155"/>
        <v>1.0540757637473395</v>
      </c>
    </row>
    <row r="433" spans="3:4" x14ac:dyDescent="0.35">
      <c r="C433" s="6">
        <f t="shared" si="156"/>
        <v>231</v>
      </c>
      <c r="D433" s="3">
        <f t="shared" si="155"/>
        <v>1.0540757637473395</v>
      </c>
    </row>
    <row r="434" spans="3:4" x14ac:dyDescent="0.35">
      <c r="C434" s="6">
        <f t="shared" si="156"/>
        <v>232</v>
      </c>
      <c r="D434" s="3">
        <f t="shared" si="155"/>
        <v>1.0540757637473395</v>
      </c>
    </row>
    <row r="435" spans="3:4" x14ac:dyDescent="0.35">
      <c r="C435" s="6">
        <f t="shared" si="156"/>
        <v>233</v>
      </c>
      <c r="D435" s="3">
        <f t="shared" si="155"/>
        <v>1.0540757637473395</v>
      </c>
    </row>
    <row r="436" spans="3:4" x14ac:dyDescent="0.35">
      <c r="C436" s="6">
        <f t="shared" si="156"/>
        <v>234</v>
      </c>
      <c r="D436" s="3">
        <f t="shared" si="155"/>
        <v>1.0540757637473395</v>
      </c>
    </row>
    <row r="437" spans="3:4" x14ac:dyDescent="0.35">
      <c r="C437" s="6">
        <f t="shared" si="156"/>
        <v>235</v>
      </c>
      <c r="D437" s="3">
        <f t="shared" si="155"/>
        <v>1.0540757637473395</v>
      </c>
    </row>
    <row r="438" spans="3:4" x14ac:dyDescent="0.35">
      <c r="C438" s="6">
        <f t="shared" si="156"/>
        <v>236</v>
      </c>
      <c r="D438" s="3">
        <f t="shared" si="155"/>
        <v>1.0540757637473395</v>
      </c>
    </row>
    <row r="439" spans="3:4" x14ac:dyDescent="0.35">
      <c r="C439" s="6">
        <f t="shared" si="156"/>
        <v>237</v>
      </c>
      <c r="D439" s="3">
        <f t="shared" si="155"/>
        <v>1.0540757637473395</v>
      </c>
    </row>
    <row r="440" spans="3:4" x14ac:dyDescent="0.35">
      <c r="C440" s="6">
        <f t="shared" si="156"/>
        <v>238</v>
      </c>
      <c r="D440" s="3">
        <f t="shared" si="155"/>
        <v>1.0540757637473395</v>
      </c>
    </row>
    <row r="441" spans="3:4" x14ac:dyDescent="0.35">
      <c r="C441" s="6">
        <f t="shared" si="156"/>
        <v>239</v>
      </c>
      <c r="D441" s="3">
        <f t="shared" si="155"/>
        <v>1.0540757637473395</v>
      </c>
    </row>
    <row r="442" spans="3:4" x14ac:dyDescent="0.35">
      <c r="C442" s="6">
        <f t="shared" si="156"/>
        <v>240</v>
      </c>
      <c r="D442" s="3">
        <f t="shared" si="155"/>
        <v>1.0540757637473395</v>
      </c>
    </row>
    <row r="443" spans="3:4" x14ac:dyDescent="0.35">
      <c r="C443" s="6">
        <f t="shared" si="156"/>
        <v>241</v>
      </c>
      <c r="D443" s="3">
        <f t="shared" si="155"/>
        <v>1.0540757637473395</v>
      </c>
    </row>
    <row r="444" spans="3:4" x14ac:dyDescent="0.35">
      <c r="C444" s="6">
        <f t="shared" si="156"/>
        <v>242</v>
      </c>
      <c r="D444" s="3">
        <f t="shared" si="155"/>
        <v>1.0540757637473395</v>
      </c>
    </row>
    <row r="445" spans="3:4" x14ac:dyDescent="0.35">
      <c r="C445" s="6">
        <f t="shared" si="156"/>
        <v>243</v>
      </c>
      <c r="D445" s="3">
        <f t="shared" si="155"/>
        <v>1.0540757637473395</v>
      </c>
    </row>
    <row r="446" spans="3:4" x14ac:dyDescent="0.35">
      <c r="C446" s="6">
        <f t="shared" si="156"/>
        <v>244</v>
      </c>
      <c r="D446" s="3">
        <f t="shared" si="155"/>
        <v>1.0540757637473395</v>
      </c>
    </row>
    <row r="447" spans="3:4" x14ac:dyDescent="0.35">
      <c r="C447" s="6">
        <f t="shared" si="156"/>
        <v>245</v>
      </c>
      <c r="D447" s="3">
        <f t="shared" si="155"/>
        <v>1.0540757637473395</v>
      </c>
    </row>
    <row r="448" spans="3:4" x14ac:dyDescent="0.35">
      <c r="C448" s="6">
        <f t="shared" si="156"/>
        <v>246</v>
      </c>
      <c r="D448" s="3">
        <f t="shared" si="155"/>
        <v>1.0540757637473395</v>
      </c>
    </row>
    <row r="449" spans="3:4" x14ac:dyDescent="0.35">
      <c r="C449" s="6">
        <f t="shared" si="156"/>
        <v>247</v>
      </c>
      <c r="D449" s="3">
        <f t="shared" si="155"/>
        <v>1.0540757637473395</v>
      </c>
    </row>
    <row r="450" spans="3:4" x14ac:dyDescent="0.35">
      <c r="C450" s="6">
        <f t="shared" si="156"/>
        <v>248</v>
      </c>
      <c r="D450" s="3">
        <f t="shared" si="155"/>
        <v>1.0540757637473395</v>
      </c>
    </row>
    <row r="451" spans="3:4" x14ac:dyDescent="0.35">
      <c r="C451" s="6">
        <f t="shared" si="156"/>
        <v>249</v>
      </c>
      <c r="D451" s="3">
        <f t="shared" si="155"/>
        <v>1.0540757637473395</v>
      </c>
    </row>
    <row r="452" spans="3:4" x14ac:dyDescent="0.35">
      <c r="C452" s="6">
        <f t="shared" si="156"/>
        <v>250</v>
      </c>
      <c r="D452" s="3">
        <f t="shared" si="155"/>
        <v>1.0540757637473395</v>
      </c>
    </row>
    <row r="453" spans="3:4" x14ac:dyDescent="0.35">
      <c r="C453" s="6">
        <f t="shared" si="156"/>
        <v>251</v>
      </c>
      <c r="D453" s="3">
        <f t="shared" si="155"/>
        <v>1.0540757637473395</v>
      </c>
    </row>
    <row r="454" spans="3:4" x14ac:dyDescent="0.35">
      <c r="C454" s="6">
        <f t="shared" si="156"/>
        <v>252</v>
      </c>
      <c r="D454" s="3">
        <f t="shared" si="155"/>
        <v>1.0540757637473395</v>
      </c>
    </row>
    <row r="455" spans="3:4" x14ac:dyDescent="0.35">
      <c r="C455" s="6">
        <f t="shared" si="156"/>
        <v>253</v>
      </c>
      <c r="D455" s="3">
        <f t="shared" si="155"/>
        <v>1.0540757637473395</v>
      </c>
    </row>
    <row r="456" spans="3:4" x14ac:dyDescent="0.35">
      <c r="C456" s="6">
        <f t="shared" si="156"/>
        <v>254</v>
      </c>
      <c r="D456" s="3">
        <f t="shared" si="155"/>
        <v>1.0540757637473395</v>
      </c>
    </row>
    <row r="457" spans="3:4" x14ac:dyDescent="0.35">
      <c r="C457" s="6">
        <f t="shared" si="156"/>
        <v>255</v>
      </c>
      <c r="D457" s="3">
        <f t="shared" si="155"/>
        <v>1.0540757637473395</v>
      </c>
    </row>
    <row r="458" spans="3:4" x14ac:dyDescent="0.35">
      <c r="C458" s="6">
        <f t="shared" si="156"/>
        <v>256</v>
      </c>
      <c r="D458" s="3">
        <f t="shared" si="155"/>
        <v>1.0540757637473395</v>
      </c>
    </row>
    <row r="459" spans="3:4" x14ac:dyDescent="0.35">
      <c r="C459" s="6">
        <f t="shared" si="156"/>
        <v>257</v>
      </c>
      <c r="D459" s="3">
        <f t="shared" ref="D459:D522" si="157">IF(INDEX($P$106:$P$196,MATCH(C461,$C$106:$C$196,1))=0,0,INDEX($O$106:$O$196,MATCH(C461,$C$106:$C$196,1)))</f>
        <v>1.0540757637473395</v>
      </c>
    </row>
    <row r="460" spans="3:4" x14ac:dyDescent="0.35">
      <c r="C460" s="6">
        <f t="shared" ref="C460:C523" si="158">C459+1</f>
        <v>258</v>
      </c>
      <c r="D460" s="3">
        <f t="shared" si="157"/>
        <v>1.0540757637473395</v>
      </c>
    </row>
    <row r="461" spans="3:4" x14ac:dyDescent="0.35">
      <c r="C461" s="6">
        <f t="shared" si="158"/>
        <v>259</v>
      </c>
      <c r="D461" s="3">
        <f t="shared" si="157"/>
        <v>1.0540757637473395</v>
      </c>
    </row>
    <row r="462" spans="3:4" x14ac:dyDescent="0.35">
      <c r="C462" s="6">
        <f t="shared" si="158"/>
        <v>260</v>
      </c>
      <c r="D462" s="3">
        <f t="shared" si="157"/>
        <v>1.0540757637473395</v>
      </c>
    </row>
    <row r="463" spans="3:4" x14ac:dyDescent="0.35">
      <c r="C463" s="6">
        <f t="shared" si="158"/>
        <v>261</v>
      </c>
      <c r="D463" s="3">
        <f t="shared" si="157"/>
        <v>1.0540757637473395</v>
      </c>
    </row>
    <row r="464" spans="3:4" x14ac:dyDescent="0.35">
      <c r="C464" s="6">
        <f t="shared" si="158"/>
        <v>262</v>
      </c>
      <c r="D464" s="3">
        <f t="shared" si="157"/>
        <v>1.0540757637473395</v>
      </c>
    </row>
    <row r="465" spans="3:4" x14ac:dyDescent="0.35">
      <c r="C465" s="6">
        <f t="shared" si="158"/>
        <v>263</v>
      </c>
      <c r="D465" s="3">
        <f t="shared" si="157"/>
        <v>1.0540757637473395</v>
      </c>
    </row>
    <row r="466" spans="3:4" x14ac:dyDescent="0.35">
      <c r="C466" s="6">
        <f t="shared" si="158"/>
        <v>264</v>
      </c>
      <c r="D466" s="3">
        <f t="shared" si="157"/>
        <v>1.0540757637473395</v>
      </c>
    </row>
    <row r="467" spans="3:4" x14ac:dyDescent="0.35">
      <c r="C467" s="6">
        <f t="shared" si="158"/>
        <v>265</v>
      </c>
      <c r="D467" s="3">
        <f t="shared" si="157"/>
        <v>1.0540757637473395</v>
      </c>
    </row>
    <row r="468" spans="3:4" x14ac:dyDescent="0.35">
      <c r="C468" s="6">
        <f t="shared" si="158"/>
        <v>266</v>
      </c>
      <c r="D468" s="3">
        <f t="shared" si="157"/>
        <v>1.0540757637473395</v>
      </c>
    </row>
    <row r="469" spans="3:4" x14ac:dyDescent="0.35">
      <c r="C469" s="6">
        <f t="shared" si="158"/>
        <v>267</v>
      </c>
      <c r="D469" s="3">
        <f t="shared" si="157"/>
        <v>1.0540757637473395</v>
      </c>
    </row>
    <row r="470" spans="3:4" x14ac:dyDescent="0.35">
      <c r="C470" s="6">
        <f t="shared" si="158"/>
        <v>268</v>
      </c>
      <c r="D470" s="3">
        <f t="shared" si="157"/>
        <v>1.0540757637473395</v>
      </c>
    </row>
    <row r="471" spans="3:4" x14ac:dyDescent="0.35">
      <c r="C471" s="6">
        <f t="shared" si="158"/>
        <v>269</v>
      </c>
      <c r="D471" s="3">
        <f t="shared" si="157"/>
        <v>1.0540757637473395</v>
      </c>
    </row>
    <row r="472" spans="3:4" x14ac:dyDescent="0.35">
      <c r="C472" s="6">
        <f t="shared" si="158"/>
        <v>270</v>
      </c>
      <c r="D472" s="3">
        <f t="shared" si="157"/>
        <v>1.0540757637473395</v>
      </c>
    </row>
    <row r="473" spans="3:4" x14ac:dyDescent="0.35">
      <c r="C473" s="6">
        <f t="shared" si="158"/>
        <v>271</v>
      </c>
      <c r="D473" s="3">
        <f t="shared" si="157"/>
        <v>1.0540757637473395</v>
      </c>
    </row>
    <row r="474" spans="3:4" x14ac:dyDescent="0.35">
      <c r="C474" s="6">
        <f t="shared" si="158"/>
        <v>272</v>
      </c>
      <c r="D474" s="3">
        <f t="shared" si="157"/>
        <v>1.0540757637473395</v>
      </c>
    </row>
    <row r="475" spans="3:4" x14ac:dyDescent="0.35">
      <c r="C475" s="6">
        <f t="shared" si="158"/>
        <v>273</v>
      </c>
      <c r="D475" s="3">
        <f t="shared" si="157"/>
        <v>1.0540757637473395</v>
      </c>
    </row>
    <row r="476" spans="3:4" x14ac:dyDescent="0.35">
      <c r="C476" s="6">
        <f t="shared" si="158"/>
        <v>274</v>
      </c>
      <c r="D476" s="3">
        <f t="shared" si="157"/>
        <v>1.0540757637473395</v>
      </c>
    </row>
    <row r="477" spans="3:4" x14ac:dyDescent="0.35">
      <c r="C477" s="6">
        <f t="shared" si="158"/>
        <v>275</v>
      </c>
      <c r="D477" s="3">
        <f t="shared" si="157"/>
        <v>1.0540757637473395</v>
      </c>
    </row>
    <row r="478" spans="3:4" x14ac:dyDescent="0.35">
      <c r="C478" s="6">
        <f t="shared" si="158"/>
        <v>276</v>
      </c>
      <c r="D478" s="3">
        <f t="shared" si="157"/>
        <v>1.0540757637473395</v>
      </c>
    </row>
    <row r="479" spans="3:4" x14ac:dyDescent="0.35">
      <c r="C479" s="6">
        <f t="shared" si="158"/>
        <v>277</v>
      </c>
      <c r="D479" s="3">
        <f t="shared" si="157"/>
        <v>1.0540757637473395</v>
      </c>
    </row>
    <row r="480" spans="3:4" x14ac:dyDescent="0.35">
      <c r="C480" s="6">
        <f t="shared" si="158"/>
        <v>278</v>
      </c>
      <c r="D480" s="3">
        <f t="shared" si="157"/>
        <v>1.0540757637473395</v>
      </c>
    </row>
    <row r="481" spans="3:4" x14ac:dyDescent="0.35">
      <c r="C481" s="6">
        <f t="shared" si="158"/>
        <v>279</v>
      </c>
      <c r="D481" s="3">
        <f t="shared" si="157"/>
        <v>1.0540757637473395</v>
      </c>
    </row>
    <row r="482" spans="3:4" x14ac:dyDescent="0.35">
      <c r="C482" s="6">
        <f t="shared" si="158"/>
        <v>280</v>
      </c>
      <c r="D482" s="3">
        <f t="shared" si="157"/>
        <v>1.0540757637473395</v>
      </c>
    </row>
    <row r="483" spans="3:4" x14ac:dyDescent="0.35">
      <c r="C483" s="6">
        <f t="shared" si="158"/>
        <v>281</v>
      </c>
      <c r="D483" s="3">
        <f t="shared" si="157"/>
        <v>1.0540757637473395</v>
      </c>
    </row>
    <row r="484" spans="3:4" x14ac:dyDescent="0.35">
      <c r="C484" s="6">
        <f t="shared" si="158"/>
        <v>282</v>
      </c>
      <c r="D484" s="3">
        <f t="shared" si="157"/>
        <v>1.0540757637473395</v>
      </c>
    </row>
    <row r="485" spans="3:4" x14ac:dyDescent="0.35">
      <c r="C485" s="6">
        <f t="shared" si="158"/>
        <v>283</v>
      </c>
      <c r="D485" s="3">
        <f t="shared" si="157"/>
        <v>1.0540757637473395</v>
      </c>
    </row>
    <row r="486" spans="3:4" x14ac:dyDescent="0.35">
      <c r="C486" s="6">
        <f t="shared" si="158"/>
        <v>284</v>
      </c>
      <c r="D486" s="3">
        <f t="shared" si="157"/>
        <v>1.0540757637473395</v>
      </c>
    </row>
    <row r="487" spans="3:4" x14ac:dyDescent="0.35">
      <c r="C487" s="6">
        <f t="shared" si="158"/>
        <v>285</v>
      </c>
      <c r="D487" s="3">
        <f t="shared" si="157"/>
        <v>1.0540757637473395</v>
      </c>
    </row>
    <row r="488" spans="3:4" x14ac:dyDescent="0.35">
      <c r="C488" s="6">
        <f t="shared" si="158"/>
        <v>286</v>
      </c>
      <c r="D488" s="3">
        <f t="shared" si="157"/>
        <v>1.0540757637473395</v>
      </c>
    </row>
    <row r="489" spans="3:4" x14ac:dyDescent="0.35">
      <c r="C489" s="6">
        <f t="shared" si="158"/>
        <v>287</v>
      </c>
      <c r="D489" s="3">
        <f t="shared" si="157"/>
        <v>1.0540757637473395</v>
      </c>
    </row>
    <row r="490" spans="3:4" x14ac:dyDescent="0.35">
      <c r="C490" s="6">
        <f t="shared" si="158"/>
        <v>288</v>
      </c>
      <c r="D490" s="3">
        <f t="shared" si="157"/>
        <v>1.0540757637473395</v>
      </c>
    </row>
    <row r="491" spans="3:4" x14ac:dyDescent="0.35">
      <c r="C491" s="6">
        <f t="shared" si="158"/>
        <v>289</v>
      </c>
      <c r="D491" s="3">
        <f t="shared" si="157"/>
        <v>1.0540757637473395</v>
      </c>
    </row>
    <row r="492" spans="3:4" x14ac:dyDescent="0.35">
      <c r="C492" s="6">
        <f t="shared" si="158"/>
        <v>290</v>
      </c>
      <c r="D492" s="3">
        <f t="shared" si="157"/>
        <v>1.0540757637473395</v>
      </c>
    </row>
    <row r="493" spans="3:4" x14ac:dyDescent="0.35">
      <c r="C493" s="6">
        <f t="shared" si="158"/>
        <v>291</v>
      </c>
      <c r="D493" s="3">
        <f t="shared" si="157"/>
        <v>1.0540757637473395</v>
      </c>
    </row>
    <row r="494" spans="3:4" x14ac:dyDescent="0.35">
      <c r="C494" s="6">
        <f t="shared" si="158"/>
        <v>292</v>
      </c>
      <c r="D494" s="3">
        <f t="shared" si="157"/>
        <v>1.0540757637473395</v>
      </c>
    </row>
    <row r="495" spans="3:4" x14ac:dyDescent="0.35">
      <c r="C495" s="6">
        <f t="shared" si="158"/>
        <v>293</v>
      </c>
      <c r="D495" s="3">
        <f t="shared" si="157"/>
        <v>1.0540757637473395</v>
      </c>
    </row>
    <row r="496" spans="3:4" x14ac:dyDescent="0.35">
      <c r="C496" s="6">
        <f t="shared" si="158"/>
        <v>294</v>
      </c>
      <c r="D496" s="3">
        <f t="shared" si="157"/>
        <v>1.0540757637473395</v>
      </c>
    </row>
    <row r="497" spans="3:4" x14ac:dyDescent="0.35">
      <c r="C497" s="6">
        <f t="shared" si="158"/>
        <v>295</v>
      </c>
      <c r="D497" s="3">
        <f t="shared" si="157"/>
        <v>1.0540757637473395</v>
      </c>
    </row>
    <row r="498" spans="3:4" x14ac:dyDescent="0.35">
      <c r="C498" s="6">
        <f t="shared" si="158"/>
        <v>296</v>
      </c>
      <c r="D498" s="3">
        <f t="shared" si="157"/>
        <v>1.0540757637473395</v>
      </c>
    </row>
    <row r="499" spans="3:4" x14ac:dyDescent="0.35">
      <c r="C499" s="6">
        <f t="shared" si="158"/>
        <v>297</v>
      </c>
      <c r="D499" s="3">
        <f t="shared" si="157"/>
        <v>1.0540757637473395</v>
      </c>
    </row>
    <row r="500" spans="3:4" x14ac:dyDescent="0.35">
      <c r="C500" s="6">
        <f t="shared" si="158"/>
        <v>298</v>
      </c>
      <c r="D500" s="3">
        <f t="shared" si="157"/>
        <v>1.0540757637473395</v>
      </c>
    </row>
    <row r="501" spans="3:4" x14ac:dyDescent="0.35">
      <c r="C501" s="6">
        <f t="shared" si="158"/>
        <v>299</v>
      </c>
      <c r="D501" s="3">
        <f t="shared" si="157"/>
        <v>1.0540757637473395</v>
      </c>
    </row>
    <row r="502" spans="3:4" x14ac:dyDescent="0.35">
      <c r="C502" s="6">
        <f t="shared" si="158"/>
        <v>300</v>
      </c>
      <c r="D502" s="3">
        <f t="shared" si="157"/>
        <v>1.0540757637473395</v>
      </c>
    </row>
    <row r="503" spans="3:4" x14ac:dyDescent="0.35">
      <c r="C503" s="6">
        <f t="shared" si="158"/>
        <v>301</v>
      </c>
      <c r="D503" s="3">
        <f t="shared" si="157"/>
        <v>1.0540757637473395</v>
      </c>
    </row>
    <row r="504" spans="3:4" x14ac:dyDescent="0.35">
      <c r="C504" s="6">
        <f t="shared" si="158"/>
        <v>302</v>
      </c>
      <c r="D504" s="3">
        <f t="shared" si="157"/>
        <v>1.0540757637473395</v>
      </c>
    </row>
    <row r="505" spans="3:4" x14ac:dyDescent="0.35">
      <c r="C505" s="6">
        <f t="shared" si="158"/>
        <v>303</v>
      </c>
      <c r="D505" s="3">
        <f t="shared" si="157"/>
        <v>1.0540757637473395</v>
      </c>
    </row>
    <row r="506" spans="3:4" x14ac:dyDescent="0.35">
      <c r="C506" s="6">
        <f t="shared" si="158"/>
        <v>304</v>
      </c>
      <c r="D506" s="3">
        <f t="shared" si="157"/>
        <v>1.0540757637473395</v>
      </c>
    </row>
    <row r="507" spans="3:4" x14ac:dyDescent="0.35">
      <c r="C507" s="6">
        <f t="shared" si="158"/>
        <v>305</v>
      </c>
      <c r="D507" s="3">
        <f t="shared" si="157"/>
        <v>1.0540757637473395</v>
      </c>
    </row>
    <row r="508" spans="3:4" x14ac:dyDescent="0.35">
      <c r="C508" s="6">
        <f t="shared" si="158"/>
        <v>306</v>
      </c>
      <c r="D508" s="3">
        <f t="shared" si="157"/>
        <v>1.0540757637473395</v>
      </c>
    </row>
    <row r="509" spans="3:4" x14ac:dyDescent="0.35">
      <c r="C509" s="6">
        <f t="shared" si="158"/>
        <v>307</v>
      </c>
      <c r="D509" s="3">
        <f t="shared" si="157"/>
        <v>1.0540757637473395</v>
      </c>
    </row>
    <row r="510" spans="3:4" x14ac:dyDescent="0.35">
      <c r="C510" s="6">
        <f t="shared" si="158"/>
        <v>308</v>
      </c>
      <c r="D510" s="3">
        <f t="shared" si="157"/>
        <v>1.0540757637473395</v>
      </c>
    </row>
    <row r="511" spans="3:4" x14ac:dyDescent="0.35">
      <c r="C511" s="6">
        <f t="shared" si="158"/>
        <v>309</v>
      </c>
      <c r="D511" s="3">
        <f t="shared" si="157"/>
        <v>1.0540757637473395</v>
      </c>
    </row>
    <row r="512" spans="3:4" x14ac:dyDescent="0.35">
      <c r="C512" s="6">
        <f t="shared" si="158"/>
        <v>310</v>
      </c>
      <c r="D512" s="3">
        <f t="shared" si="157"/>
        <v>1.0540757637473395</v>
      </c>
    </row>
    <row r="513" spans="3:4" x14ac:dyDescent="0.35">
      <c r="C513" s="6">
        <f t="shared" si="158"/>
        <v>311</v>
      </c>
      <c r="D513" s="3">
        <f t="shared" si="157"/>
        <v>1.0540757637473395</v>
      </c>
    </row>
    <row r="514" spans="3:4" x14ac:dyDescent="0.35">
      <c r="C514" s="6">
        <f t="shared" si="158"/>
        <v>312</v>
      </c>
      <c r="D514" s="3">
        <f t="shared" si="157"/>
        <v>1.0540757637473395</v>
      </c>
    </row>
    <row r="515" spans="3:4" x14ac:dyDescent="0.35">
      <c r="C515" s="6">
        <f t="shared" si="158"/>
        <v>313</v>
      </c>
      <c r="D515" s="3">
        <f t="shared" si="157"/>
        <v>1.0540757637473395</v>
      </c>
    </row>
    <row r="516" spans="3:4" x14ac:dyDescent="0.35">
      <c r="C516" s="6">
        <f t="shared" si="158"/>
        <v>314</v>
      </c>
      <c r="D516" s="3">
        <f t="shared" si="157"/>
        <v>1.0540757637473395</v>
      </c>
    </row>
    <row r="517" spans="3:4" x14ac:dyDescent="0.35">
      <c r="C517" s="6">
        <f t="shared" si="158"/>
        <v>315</v>
      </c>
      <c r="D517" s="3">
        <f t="shared" si="157"/>
        <v>1.0540757637473395</v>
      </c>
    </row>
    <row r="518" spans="3:4" x14ac:dyDescent="0.35">
      <c r="C518" s="6">
        <f t="shared" si="158"/>
        <v>316</v>
      </c>
      <c r="D518" s="3">
        <f t="shared" si="157"/>
        <v>1.0540757637473395</v>
      </c>
    </row>
    <row r="519" spans="3:4" x14ac:dyDescent="0.35">
      <c r="C519" s="6">
        <f t="shared" si="158"/>
        <v>317</v>
      </c>
      <c r="D519" s="3">
        <f t="shared" si="157"/>
        <v>1.0540757637473395</v>
      </c>
    </row>
    <row r="520" spans="3:4" x14ac:dyDescent="0.35">
      <c r="C520" s="6">
        <f t="shared" si="158"/>
        <v>318</v>
      </c>
      <c r="D520" s="3">
        <f t="shared" si="157"/>
        <v>1.0540757637473395</v>
      </c>
    </row>
    <row r="521" spans="3:4" x14ac:dyDescent="0.35">
      <c r="C521" s="6">
        <f t="shared" si="158"/>
        <v>319</v>
      </c>
      <c r="D521" s="3">
        <f t="shared" si="157"/>
        <v>1.0540757637473395</v>
      </c>
    </row>
    <row r="522" spans="3:4" x14ac:dyDescent="0.35">
      <c r="C522" s="6">
        <f t="shared" si="158"/>
        <v>320</v>
      </c>
      <c r="D522" s="3">
        <f t="shared" si="157"/>
        <v>1.0540757637473395</v>
      </c>
    </row>
    <row r="523" spans="3:4" x14ac:dyDescent="0.35">
      <c r="C523" s="6">
        <f t="shared" si="158"/>
        <v>321</v>
      </c>
      <c r="D523" s="3">
        <f t="shared" ref="D523:D562" si="159">IF(INDEX($P$106:$P$196,MATCH(C525,$C$106:$C$196,1))=0,0,INDEX($O$106:$O$196,MATCH(C525,$C$106:$C$196,1)))</f>
        <v>1.0540757637473395</v>
      </c>
    </row>
    <row r="524" spans="3:4" x14ac:dyDescent="0.35">
      <c r="C524" s="6">
        <f t="shared" ref="C524:C562" si="160">C523+1</f>
        <v>322</v>
      </c>
      <c r="D524" s="3">
        <f t="shared" si="159"/>
        <v>1.0540757637473395</v>
      </c>
    </row>
    <row r="525" spans="3:4" x14ac:dyDescent="0.35">
      <c r="C525" s="6">
        <f t="shared" si="160"/>
        <v>323</v>
      </c>
      <c r="D525" s="3">
        <f t="shared" si="159"/>
        <v>1.0540757637473395</v>
      </c>
    </row>
    <row r="526" spans="3:4" x14ac:dyDescent="0.35">
      <c r="C526" s="6">
        <f t="shared" si="160"/>
        <v>324</v>
      </c>
      <c r="D526" s="3">
        <f t="shared" si="159"/>
        <v>1.0540757637473395</v>
      </c>
    </row>
    <row r="527" spans="3:4" x14ac:dyDescent="0.35">
      <c r="C527" s="6">
        <f t="shared" si="160"/>
        <v>325</v>
      </c>
      <c r="D527" s="3">
        <f t="shared" si="159"/>
        <v>1.0540757637473395</v>
      </c>
    </row>
    <row r="528" spans="3:4" x14ac:dyDescent="0.35">
      <c r="C528" s="6">
        <f t="shared" si="160"/>
        <v>326</v>
      </c>
      <c r="D528" s="3">
        <f t="shared" si="159"/>
        <v>1.0540757637473395</v>
      </c>
    </row>
    <row r="529" spans="3:4" x14ac:dyDescent="0.35">
      <c r="C529" s="6">
        <f t="shared" si="160"/>
        <v>327</v>
      </c>
      <c r="D529" s="3">
        <f t="shared" si="159"/>
        <v>1.0540757637473395</v>
      </c>
    </row>
    <row r="530" spans="3:4" x14ac:dyDescent="0.35">
      <c r="C530" s="6">
        <f t="shared" si="160"/>
        <v>328</v>
      </c>
      <c r="D530" s="3">
        <f t="shared" si="159"/>
        <v>1.0540757637473395</v>
      </c>
    </row>
    <row r="531" spans="3:4" x14ac:dyDescent="0.35">
      <c r="C531" s="6">
        <f t="shared" si="160"/>
        <v>329</v>
      </c>
      <c r="D531" s="3">
        <f t="shared" si="159"/>
        <v>1.0540757637473395</v>
      </c>
    </row>
    <row r="532" spans="3:4" x14ac:dyDescent="0.35">
      <c r="C532" s="6">
        <f t="shared" si="160"/>
        <v>330</v>
      </c>
      <c r="D532" s="3">
        <f t="shared" si="159"/>
        <v>1.0540757637473395</v>
      </c>
    </row>
    <row r="533" spans="3:4" x14ac:dyDescent="0.35">
      <c r="C533" s="6">
        <f t="shared" si="160"/>
        <v>331</v>
      </c>
      <c r="D533" s="3">
        <f t="shared" si="159"/>
        <v>1.0540757637473395</v>
      </c>
    </row>
    <row r="534" spans="3:4" x14ac:dyDescent="0.35">
      <c r="C534" s="6">
        <f t="shared" si="160"/>
        <v>332</v>
      </c>
      <c r="D534" s="3">
        <f t="shared" si="159"/>
        <v>1.0540757637473395</v>
      </c>
    </row>
    <row r="535" spans="3:4" x14ac:dyDescent="0.35">
      <c r="C535" s="6">
        <f t="shared" si="160"/>
        <v>333</v>
      </c>
      <c r="D535" s="3">
        <f t="shared" si="159"/>
        <v>1.0540757637473395</v>
      </c>
    </row>
    <row r="536" spans="3:4" x14ac:dyDescent="0.35">
      <c r="C536" s="6">
        <f t="shared" si="160"/>
        <v>334</v>
      </c>
      <c r="D536" s="3">
        <f t="shared" si="159"/>
        <v>1.0540757637473395</v>
      </c>
    </row>
    <row r="537" spans="3:4" x14ac:dyDescent="0.35">
      <c r="C537" s="6">
        <f t="shared" si="160"/>
        <v>335</v>
      </c>
      <c r="D537" s="3">
        <f t="shared" si="159"/>
        <v>1.0540757637473395</v>
      </c>
    </row>
    <row r="538" spans="3:4" x14ac:dyDescent="0.35">
      <c r="C538" s="6">
        <f t="shared" si="160"/>
        <v>336</v>
      </c>
      <c r="D538" s="3">
        <f t="shared" si="159"/>
        <v>1.0540757637473395</v>
      </c>
    </row>
    <row r="539" spans="3:4" x14ac:dyDescent="0.35">
      <c r="C539" s="6">
        <f t="shared" si="160"/>
        <v>337</v>
      </c>
      <c r="D539" s="3">
        <f t="shared" si="159"/>
        <v>1.0540757637473395</v>
      </c>
    </row>
    <row r="540" spans="3:4" x14ac:dyDescent="0.35">
      <c r="C540" s="6">
        <f t="shared" si="160"/>
        <v>338</v>
      </c>
      <c r="D540" s="3">
        <f t="shared" si="159"/>
        <v>1.0540757637473395</v>
      </c>
    </row>
    <row r="541" spans="3:4" x14ac:dyDescent="0.35">
      <c r="C541" s="6">
        <f t="shared" si="160"/>
        <v>339</v>
      </c>
      <c r="D541" s="3">
        <f t="shared" si="159"/>
        <v>1.0540757637473395</v>
      </c>
    </row>
    <row r="542" spans="3:4" x14ac:dyDescent="0.35">
      <c r="C542" s="6">
        <f t="shared" si="160"/>
        <v>340</v>
      </c>
      <c r="D542" s="3">
        <f t="shared" si="159"/>
        <v>1.0540757637473395</v>
      </c>
    </row>
    <row r="543" spans="3:4" x14ac:dyDescent="0.35">
      <c r="C543" s="6">
        <f t="shared" si="160"/>
        <v>341</v>
      </c>
      <c r="D543" s="3">
        <f t="shared" si="159"/>
        <v>1.0540757637473395</v>
      </c>
    </row>
    <row r="544" spans="3:4" x14ac:dyDescent="0.35">
      <c r="C544" s="6">
        <f t="shared" si="160"/>
        <v>342</v>
      </c>
      <c r="D544" s="3">
        <f t="shared" si="159"/>
        <v>1.0540757637473395</v>
      </c>
    </row>
    <row r="545" spans="3:4" x14ac:dyDescent="0.35">
      <c r="C545" s="6">
        <f t="shared" si="160"/>
        <v>343</v>
      </c>
      <c r="D545" s="3">
        <f t="shared" si="159"/>
        <v>1.0540757637473395</v>
      </c>
    </row>
    <row r="546" spans="3:4" x14ac:dyDescent="0.35">
      <c r="C546" s="6">
        <f t="shared" si="160"/>
        <v>344</v>
      </c>
      <c r="D546" s="3">
        <f t="shared" si="159"/>
        <v>1.0540757637473395</v>
      </c>
    </row>
    <row r="547" spans="3:4" x14ac:dyDescent="0.35">
      <c r="C547" s="6">
        <f t="shared" si="160"/>
        <v>345</v>
      </c>
      <c r="D547" s="3">
        <f t="shared" si="159"/>
        <v>1.0540757637473395</v>
      </c>
    </row>
    <row r="548" spans="3:4" x14ac:dyDescent="0.35">
      <c r="C548" s="6">
        <f t="shared" si="160"/>
        <v>346</v>
      </c>
      <c r="D548" s="3">
        <f t="shared" si="159"/>
        <v>1.0540757637473395</v>
      </c>
    </row>
    <row r="549" spans="3:4" x14ac:dyDescent="0.35">
      <c r="C549" s="6">
        <f t="shared" si="160"/>
        <v>347</v>
      </c>
      <c r="D549" s="3">
        <f t="shared" si="159"/>
        <v>1.0540757637473395</v>
      </c>
    </row>
    <row r="550" spans="3:4" x14ac:dyDescent="0.35">
      <c r="C550" s="6">
        <f t="shared" si="160"/>
        <v>348</v>
      </c>
      <c r="D550" s="3">
        <f t="shared" si="159"/>
        <v>1.0540757637473395</v>
      </c>
    </row>
    <row r="551" spans="3:4" x14ac:dyDescent="0.35">
      <c r="C551" s="6">
        <f t="shared" si="160"/>
        <v>349</v>
      </c>
      <c r="D551" s="3">
        <f t="shared" si="159"/>
        <v>1.0540757637473395</v>
      </c>
    </row>
    <row r="552" spans="3:4" x14ac:dyDescent="0.35">
      <c r="C552" s="6">
        <f t="shared" si="160"/>
        <v>350</v>
      </c>
      <c r="D552" s="3">
        <f t="shared" si="159"/>
        <v>1.0540757637473395</v>
      </c>
    </row>
    <row r="553" spans="3:4" x14ac:dyDescent="0.35">
      <c r="C553" s="6">
        <f t="shared" si="160"/>
        <v>351</v>
      </c>
      <c r="D553" s="3">
        <f t="shared" si="159"/>
        <v>1.0540757637473395</v>
      </c>
    </row>
    <row r="554" spans="3:4" x14ac:dyDescent="0.35">
      <c r="C554" s="6">
        <f t="shared" si="160"/>
        <v>352</v>
      </c>
      <c r="D554" s="3">
        <f t="shared" si="159"/>
        <v>1.0540757637473395</v>
      </c>
    </row>
    <row r="555" spans="3:4" x14ac:dyDescent="0.35">
      <c r="C555" s="6">
        <f t="shared" si="160"/>
        <v>353</v>
      </c>
      <c r="D555" s="3">
        <f t="shared" si="159"/>
        <v>1.0540757637473395</v>
      </c>
    </row>
    <row r="556" spans="3:4" x14ac:dyDescent="0.35">
      <c r="C556" s="6">
        <f t="shared" si="160"/>
        <v>354</v>
      </c>
      <c r="D556" s="3">
        <f t="shared" si="159"/>
        <v>1.0540757637473395</v>
      </c>
    </row>
    <row r="557" spans="3:4" x14ac:dyDescent="0.35">
      <c r="C557" s="6">
        <f t="shared" si="160"/>
        <v>355</v>
      </c>
      <c r="D557" s="3">
        <f t="shared" si="159"/>
        <v>1.0540757637473395</v>
      </c>
    </row>
    <row r="558" spans="3:4" x14ac:dyDescent="0.35">
      <c r="C558" s="6">
        <f t="shared" si="160"/>
        <v>356</v>
      </c>
      <c r="D558" s="3">
        <f t="shared" si="159"/>
        <v>1.0540757637473395</v>
      </c>
    </row>
    <row r="559" spans="3:4" x14ac:dyDescent="0.35">
      <c r="C559" s="6">
        <f t="shared" si="160"/>
        <v>357</v>
      </c>
      <c r="D559" s="3">
        <f t="shared" si="159"/>
        <v>1.0540757637473395</v>
      </c>
    </row>
    <row r="560" spans="3:4" x14ac:dyDescent="0.35">
      <c r="C560" s="6">
        <f t="shared" si="160"/>
        <v>358</v>
      </c>
      <c r="D560" s="3">
        <f t="shared" si="159"/>
        <v>1.0540757637473395</v>
      </c>
    </row>
    <row r="561" spans="3:4" x14ac:dyDescent="0.35">
      <c r="C561" s="6">
        <f t="shared" si="160"/>
        <v>359</v>
      </c>
      <c r="D561" s="3">
        <f t="shared" si="159"/>
        <v>0</v>
      </c>
    </row>
    <row r="562" spans="3:4" x14ac:dyDescent="0.35">
      <c r="C562" s="6">
        <f t="shared" si="160"/>
        <v>360</v>
      </c>
      <c r="D562" s="3">
        <f t="shared" si="159"/>
        <v>0</v>
      </c>
    </row>
  </sheetData>
  <sheetProtection selectLockedCells="1"/>
  <conditionalFormatting sqref="G34 K34:K35">
    <cfRule type="cellIs" dxfId="7" priority="13" operator="greaterThan">
      <formula>0.99</formula>
    </cfRule>
  </conditionalFormatting>
  <conditionalFormatting sqref="G32">
    <cfRule type="cellIs" dxfId="6" priority="8" operator="greaterThan">
      <formula>0</formula>
    </cfRule>
  </conditionalFormatting>
  <conditionalFormatting sqref="G31">
    <cfRule type="cellIs" dxfId="5" priority="7" operator="equal">
      <formula>1</formula>
    </cfRule>
  </conditionalFormatting>
  <conditionalFormatting sqref="G30">
    <cfRule type="notContainsText" dxfId="4" priority="5" operator="notContains" text="SOLVED">
      <formula>ISERROR(SEARCH("SOLVED",G30))</formula>
    </cfRule>
    <cfRule type="containsText" dxfId="3" priority="6" operator="containsText" text="SOLVED">
      <formula>NOT(ISERROR(SEARCH("SOLVED",G30)))</formula>
    </cfRule>
  </conditionalFormatting>
  <conditionalFormatting sqref="R28">
    <cfRule type="cellIs" dxfId="2" priority="3" operator="greaterThan">
      <formula>1</formula>
    </cfRule>
  </conditionalFormatting>
  <conditionalFormatting sqref="G35">
    <cfRule type="cellIs" dxfId="1" priority="1" operator="greaterThan">
      <formula>2</formula>
    </cfRule>
    <cfRule type="cellIs" dxfId="0" priority="2" operator="between">
      <formula>1</formula>
      <formula>2</formula>
    </cfRule>
  </conditionalFormatting>
  <dataValidations count="7">
    <dataValidation type="list" allowBlank="1" showErrorMessage="1" sqref="D39" xr:uid="{00000000-0002-0000-0000-000003000000}">
      <formula1>"Dry Clean,Wet Dirty"</formula1>
    </dataValidation>
    <dataValidation type="list" allowBlank="1" sqref="D14" xr:uid="{00000000-0002-0000-0000-000004000000}">
      <formula1>"Steel,Fabric"</formula1>
    </dataValidation>
    <dataValidation type="list" allowBlank="1" showInputMessage="1" showErrorMessage="1" sqref="D4" xr:uid="{3FE12849-882B-461B-B969-DE3D2AD33286}">
      <formula1>"Metric,Imperial"</formula1>
    </dataValidation>
    <dataValidation type="list" allowBlank="1" showErrorMessage="1" sqref="D34" xr:uid="{63160D12-8B14-44F4-ADB4-19F5EFDC31B6}">
      <formula1>UniqueDuro</formula1>
    </dataValidation>
    <dataValidation type="list" allowBlank="1" showErrorMessage="1" sqref="D33" xr:uid="{AAF388C3-EDEB-45FE-ACDC-229D20163B48}">
      <formula1>UniqueThickness</formula1>
    </dataValidation>
    <dataValidation type="list" allowBlank="1" showErrorMessage="1" promptTitle="Lagging Product" prompt="Select the Lagging Product" sqref="D32" xr:uid="{1361FC0C-5BB7-4172-BB1D-5B2F9704B031}">
      <formula1>UniqueLagging</formula1>
    </dataValidation>
    <dataValidation type="list" allowBlank="1" showInputMessage="1" showErrorMessage="1" sqref="D35" xr:uid="{52C22E3E-0406-4B09-9C89-3F21834192B0}">
      <formula1>PBond</formula1>
    </dataValidation>
  </dataValidations>
  <pageMargins left="0.7" right="0.7" top="0.75" bottom="0.75" header="0.3" footer="0.3"/>
  <pageSetup paperSize="8" scale="8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olveit">
                <anchor moveWithCells="1" sizeWithCells="1">
                  <from>
                    <xdr:col>3</xdr:col>
                    <xdr:colOff>279400</xdr:colOff>
                    <xdr:row>56</xdr:row>
                    <xdr:rowOff>88900</xdr:rowOff>
                  </from>
                  <to>
                    <xdr:col>3</xdr:col>
                    <xdr:colOff>2305050</xdr:colOff>
                    <xdr:row>58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289"/>
  <sheetViews>
    <sheetView topLeftCell="A16" zoomScale="70" zoomScaleNormal="70" workbookViewId="0">
      <selection activeCell="Q52" sqref="Q52"/>
    </sheetView>
  </sheetViews>
  <sheetFormatPr defaultColWidth="8.81640625" defaultRowHeight="14.5" x14ac:dyDescent="0.35"/>
  <cols>
    <col min="1" max="1" width="3.81640625" customWidth="1"/>
    <col min="2" max="2" width="53.54296875" customWidth="1"/>
    <col min="3" max="3" width="15.54296875" customWidth="1"/>
    <col min="4" max="4" width="11.26953125" customWidth="1"/>
    <col min="5" max="5" width="8.1796875" customWidth="1"/>
    <col min="6" max="6" width="24" customWidth="1"/>
    <col min="7" max="7" width="22.7265625" customWidth="1"/>
    <col min="8" max="8" width="7.26953125" customWidth="1"/>
    <col min="9" max="9" width="8" style="6" customWidth="1"/>
    <col min="10" max="10" width="8.453125" style="7" customWidth="1"/>
    <col min="22" max="23" width="8.81640625" style="6"/>
  </cols>
  <sheetData>
    <row r="1" spans="1:26" x14ac:dyDescent="0.35">
      <c r="B1" s="2" t="s">
        <v>90</v>
      </c>
      <c r="C1" s="2"/>
      <c r="D1" s="2"/>
      <c r="E1" s="2" t="s">
        <v>105</v>
      </c>
      <c r="F1" s="2"/>
      <c r="G1" s="2"/>
      <c r="H1" s="2"/>
      <c r="I1" s="71"/>
      <c r="J1" s="85"/>
    </row>
    <row r="2" spans="1:26" x14ac:dyDescent="0.35">
      <c r="K2" s="168" t="s">
        <v>92</v>
      </c>
      <c r="L2" s="168"/>
      <c r="M2" s="168"/>
      <c r="N2" s="168"/>
      <c r="O2" s="168"/>
      <c r="P2" s="168"/>
      <c r="Q2" s="168"/>
      <c r="R2" s="168"/>
      <c r="S2" s="168"/>
      <c r="T2" s="168"/>
      <c r="U2" s="168"/>
      <c r="V2" s="71"/>
      <c r="W2" s="71"/>
    </row>
    <row r="3" spans="1:26" x14ac:dyDescent="0.35">
      <c r="B3" s="86" t="s">
        <v>80</v>
      </c>
      <c r="C3" s="86" t="s">
        <v>368</v>
      </c>
      <c r="D3" s="86" t="s">
        <v>94</v>
      </c>
      <c r="E3" s="86" t="s">
        <v>83</v>
      </c>
      <c r="F3" s="86" t="s">
        <v>98</v>
      </c>
      <c r="G3" s="86" t="s">
        <v>104</v>
      </c>
      <c r="H3" s="86" t="s">
        <v>101</v>
      </c>
      <c r="I3" s="87" t="s">
        <v>9</v>
      </c>
      <c r="J3" s="88" t="s">
        <v>93</v>
      </c>
      <c r="K3" s="86">
        <v>100</v>
      </c>
      <c r="L3" s="86">
        <v>200</v>
      </c>
      <c r="M3" s="86">
        <v>300</v>
      </c>
      <c r="N3" s="86">
        <v>400</v>
      </c>
      <c r="O3" s="86">
        <v>500</v>
      </c>
      <c r="P3" s="86">
        <v>600</v>
      </c>
      <c r="Q3" s="86">
        <v>700</v>
      </c>
      <c r="R3" s="86">
        <v>900</v>
      </c>
      <c r="S3" s="86">
        <v>1100</v>
      </c>
      <c r="T3" s="86">
        <v>1300</v>
      </c>
      <c r="U3" s="86">
        <v>1500</v>
      </c>
      <c r="V3" s="87" t="s">
        <v>191</v>
      </c>
      <c r="W3" s="87" t="s">
        <v>412</v>
      </c>
    </row>
    <row r="4" spans="1:26" x14ac:dyDescent="0.35">
      <c r="A4">
        <v>1</v>
      </c>
      <c r="B4" s="89" t="s">
        <v>429</v>
      </c>
      <c r="C4" t="s">
        <v>372</v>
      </c>
      <c r="D4">
        <v>25</v>
      </c>
      <c r="E4">
        <v>65</v>
      </c>
      <c r="F4" t="s">
        <v>25</v>
      </c>
      <c r="G4" t="s">
        <v>44</v>
      </c>
      <c r="H4" t="s">
        <v>46</v>
      </c>
      <c r="I4" s="6" t="s">
        <v>21</v>
      </c>
      <c r="J4" s="7">
        <v>0.75700000000000001</v>
      </c>
      <c r="K4" s="89"/>
      <c r="U4" s="90"/>
      <c r="V4" s="91">
        <f>MAX(K4:U8)</f>
        <v>192.89172535211267</v>
      </c>
      <c r="W4" s="91" t="s">
        <v>413</v>
      </c>
    </row>
    <row r="5" spans="1:26" x14ac:dyDescent="0.35">
      <c r="B5" s="89" t="s">
        <v>429</v>
      </c>
      <c r="C5" t="s">
        <v>372</v>
      </c>
      <c r="D5">
        <v>25</v>
      </c>
      <c r="E5">
        <v>65</v>
      </c>
      <c r="F5" t="s">
        <v>25</v>
      </c>
      <c r="G5" t="s">
        <v>115</v>
      </c>
      <c r="H5" t="s">
        <v>19</v>
      </c>
      <c r="I5" s="6" t="s">
        <v>21</v>
      </c>
      <c r="K5" s="40"/>
      <c r="L5" s="36"/>
      <c r="M5" s="36"/>
      <c r="N5" s="36"/>
      <c r="O5" s="36"/>
      <c r="P5" s="36"/>
      <c r="Q5" s="36"/>
      <c r="U5" s="90"/>
      <c r="V5" s="101"/>
      <c r="W5" s="101"/>
    </row>
    <row r="6" spans="1:26" x14ac:dyDescent="0.35">
      <c r="B6" s="89" t="s">
        <v>429</v>
      </c>
      <c r="C6" t="s">
        <v>372</v>
      </c>
      <c r="D6">
        <v>25</v>
      </c>
      <c r="E6">
        <v>65</v>
      </c>
      <c r="F6" t="s">
        <v>25</v>
      </c>
      <c r="G6" t="s">
        <v>116</v>
      </c>
      <c r="H6" t="s">
        <v>19</v>
      </c>
      <c r="I6" s="6" t="s">
        <v>21</v>
      </c>
      <c r="K6" s="40">
        <v>91.084988317757009</v>
      </c>
      <c r="L6" s="36">
        <v>66.666666666666671</v>
      </c>
      <c r="M6" s="36">
        <v>63.28125</v>
      </c>
      <c r="N6" s="36">
        <v>38.628472222222221</v>
      </c>
      <c r="O6" s="36">
        <v>18.75</v>
      </c>
      <c r="P6" s="36">
        <v>0.1</v>
      </c>
      <c r="Q6" s="36">
        <v>0</v>
      </c>
      <c r="U6" s="90"/>
      <c r="V6" s="101"/>
      <c r="W6" s="101"/>
    </row>
    <row r="7" spans="1:26" x14ac:dyDescent="0.35">
      <c r="B7" s="89" t="s">
        <v>429</v>
      </c>
      <c r="C7" t="s">
        <v>372</v>
      </c>
      <c r="D7">
        <v>25</v>
      </c>
      <c r="E7">
        <v>65</v>
      </c>
      <c r="F7" t="s">
        <v>25</v>
      </c>
      <c r="G7" t="s">
        <v>117</v>
      </c>
      <c r="H7" t="s">
        <v>19</v>
      </c>
      <c r="I7" s="6" t="s">
        <v>21</v>
      </c>
      <c r="K7" s="39">
        <v>161.09245867768595</v>
      </c>
      <c r="L7" s="1">
        <v>159.26585477941177</v>
      </c>
      <c r="M7" s="1">
        <v>188.01109813084113</v>
      </c>
      <c r="N7" s="1">
        <v>192.89172535211267</v>
      </c>
      <c r="O7" s="1">
        <v>191.82660761154855</v>
      </c>
      <c r="P7" s="1">
        <v>179.43422693266831</v>
      </c>
      <c r="Q7" s="1">
        <v>176.6026577102804</v>
      </c>
      <c r="U7" s="90"/>
      <c r="V7" s="101"/>
      <c r="W7" s="101"/>
    </row>
    <row r="8" spans="1:26" x14ac:dyDescent="0.35">
      <c r="B8" s="95" t="s">
        <v>429</v>
      </c>
      <c r="C8" s="96" t="s">
        <v>372</v>
      </c>
      <c r="D8" s="96">
        <v>25</v>
      </c>
      <c r="E8" s="96">
        <v>65</v>
      </c>
      <c r="F8" s="96" t="s">
        <v>25</v>
      </c>
      <c r="G8" s="96" t="s">
        <v>118</v>
      </c>
      <c r="H8" s="96" t="s">
        <v>19</v>
      </c>
      <c r="I8" s="97" t="s">
        <v>21</v>
      </c>
      <c r="J8" s="98"/>
      <c r="K8" s="103">
        <v>86.631944444444443</v>
      </c>
      <c r="L8" s="104">
        <v>94.965277777777786</v>
      </c>
      <c r="M8" s="104">
        <v>123.09027777777779</v>
      </c>
      <c r="N8" s="104">
        <v>132.46527777777777</v>
      </c>
      <c r="O8" s="104">
        <v>125.52083333333334</v>
      </c>
      <c r="P8" s="104">
        <v>113.71527777777779</v>
      </c>
      <c r="Q8" s="104">
        <v>108.07291666666667</v>
      </c>
      <c r="R8" s="96"/>
      <c r="S8" s="96"/>
      <c r="T8" s="96"/>
      <c r="U8" s="99"/>
      <c r="V8" s="100"/>
      <c r="W8" s="100"/>
      <c r="Z8" s="92"/>
    </row>
    <row r="9" spans="1:26" x14ac:dyDescent="0.35">
      <c r="A9">
        <v>1</v>
      </c>
      <c r="B9" s="89" t="s">
        <v>429</v>
      </c>
      <c r="C9" t="s">
        <v>369</v>
      </c>
      <c r="D9">
        <v>12</v>
      </c>
      <c r="E9">
        <v>65</v>
      </c>
      <c r="F9" t="s">
        <v>25</v>
      </c>
      <c r="G9" t="s">
        <v>44</v>
      </c>
      <c r="H9" t="s">
        <v>46</v>
      </c>
      <c r="I9" s="6" t="s">
        <v>20</v>
      </c>
      <c r="J9" s="7">
        <v>0.49199999999999999</v>
      </c>
      <c r="K9" s="89"/>
      <c r="U9" s="90"/>
      <c r="V9" s="91">
        <f>MAX(K9:U13)</f>
        <v>115.14949845679013</v>
      </c>
      <c r="W9" s="91" t="s">
        <v>413</v>
      </c>
    </row>
    <row r="10" spans="1:26" x14ac:dyDescent="0.35">
      <c r="B10" s="89" t="s">
        <v>429</v>
      </c>
      <c r="C10" t="s">
        <v>369</v>
      </c>
      <c r="D10">
        <v>12</v>
      </c>
      <c r="E10">
        <v>65</v>
      </c>
      <c r="F10" t="s">
        <v>25</v>
      </c>
      <c r="G10" t="s">
        <v>115</v>
      </c>
      <c r="H10" t="s">
        <v>19</v>
      </c>
      <c r="I10" s="6" t="s">
        <v>20</v>
      </c>
      <c r="K10" s="89"/>
      <c r="U10" s="90"/>
      <c r="V10" s="101"/>
      <c r="W10" s="101"/>
    </row>
    <row r="11" spans="1:26" x14ac:dyDescent="0.35">
      <c r="B11" s="89" t="s">
        <v>429</v>
      </c>
      <c r="C11" t="s">
        <v>369</v>
      </c>
      <c r="D11">
        <v>12</v>
      </c>
      <c r="E11">
        <v>65</v>
      </c>
      <c r="F11" t="s">
        <v>25</v>
      </c>
      <c r="G11" t="s">
        <v>116</v>
      </c>
      <c r="H11" t="s">
        <v>19</v>
      </c>
      <c r="I11" s="6" t="s">
        <v>20</v>
      </c>
      <c r="K11" s="40">
        <v>91.145833333333343</v>
      </c>
      <c r="L11" s="36">
        <v>81.163194444444443</v>
      </c>
      <c r="M11" s="36">
        <v>75</v>
      </c>
      <c r="N11" s="36">
        <v>79.600694444444443</v>
      </c>
      <c r="O11" s="36">
        <v>99.826388888888886</v>
      </c>
      <c r="P11" s="36">
        <v>106.07638888888889</v>
      </c>
      <c r="Q11" s="36">
        <v>106.25</v>
      </c>
      <c r="U11" s="90"/>
      <c r="V11" s="101"/>
      <c r="W11" s="101"/>
    </row>
    <row r="12" spans="1:26" x14ac:dyDescent="0.35">
      <c r="B12" s="89" t="s">
        <v>429</v>
      </c>
      <c r="C12" t="s">
        <v>369</v>
      </c>
      <c r="D12">
        <v>12</v>
      </c>
      <c r="E12">
        <v>65</v>
      </c>
      <c r="F12" t="s">
        <v>25</v>
      </c>
      <c r="G12" t="s">
        <v>117</v>
      </c>
      <c r="H12" t="s">
        <v>19</v>
      </c>
      <c r="I12" s="6" t="s">
        <v>20</v>
      </c>
      <c r="K12" s="39">
        <v>115.14949845679013</v>
      </c>
      <c r="L12" s="1">
        <v>76.996527777777786</v>
      </c>
      <c r="M12" s="1">
        <v>28.472222222222225</v>
      </c>
      <c r="N12" s="1">
        <v>0.60763888888888895</v>
      </c>
      <c r="O12" s="1"/>
      <c r="P12" s="1"/>
      <c r="Q12" s="1"/>
      <c r="U12" s="90"/>
      <c r="V12" s="101"/>
      <c r="W12" s="101"/>
    </row>
    <row r="13" spans="1:26" x14ac:dyDescent="0.35">
      <c r="B13" s="95" t="s">
        <v>429</v>
      </c>
      <c r="C13" s="96" t="s">
        <v>369</v>
      </c>
      <c r="D13" s="96">
        <v>12</v>
      </c>
      <c r="E13" s="96">
        <v>65</v>
      </c>
      <c r="F13" s="96" t="s">
        <v>25</v>
      </c>
      <c r="G13" s="96" t="s">
        <v>118</v>
      </c>
      <c r="H13" s="96" t="s">
        <v>19</v>
      </c>
      <c r="I13" s="97" t="s">
        <v>20</v>
      </c>
      <c r="J13" s="98"/>
      <c r="K13" s="103">
        <v>76.736111111111114</v>
      </c>
      <c r="L13" s="104">
        <v>57.291666666666671</v>
      </c>
      <c r="M13" s="104">
        <v>37.586805555555557</v>
      </c>
      <c r="N13" s="104">
        <v>30.121527777777779</v>
      </c>
      <c r="O13" s="104">
        <v>18.489583333333336</v>
      </c>
      <c r="P13" s="104">
        <v>0.86805555555555558</v>
      </c>
      <c r="Q13" s="104">
        <v>0</v>
      </c>
      <c r="R13" s="96"/>
      <c r="S13" s="96"/>
      <c r="T13" s="96"/>
      <c r="U13" s="99"/>
      <c r="V13" s="100"/>
      <c r="W13" s="100"/>
      <c r="Z13" s="92"/>
    </row>
    <row r="14" spans="1:26" x14ac:dyDescent="0.35">
      <c r="A14">
        <v>2</v>
      </c>
      <c r="B14" s="89" t="s">
        <v>431</v>
      </c>
      <c r="C14" t="s">
        <v>369</v>
      </c>
      <c r="D14">
        <v>12</v>
      </c>
      <c r="E14">
        <v>65</v>
      </c>
      <c r="F14" t="s">
        <v>72</v>
      </c>
      <c r="G14" t="s">
        <v>44</v>
      </c>
      <c r="H14" t="s">
        <v>46</v>
      </c>
      <c r="I14" s="6" t="s">
        <v>21</v>
      </c>
      <c r="J14" s="7">
        <v>0.56100000000000005</v>
      </c>
      <c r="K14" s="39"/>
      <c r="L14" s="1"/>
      <c r="M14" s="1"/>
      <c r="N14" s="1"/>
      <c r="O14" s="1"/>
      <c r="P14" s="1"/>
      <c r="Q14" s="1"/>
      <c r="R14" s="1"/>
      <c r="S14" s="1"/>
      <c r="T14" s="1"/>
      <c r="U14" s="102"/>
      <c r="V14" s="91">
        <f>MAX(K14:U18)</f>
        <v>203.42015722163558</v>
      </c>
      <c r="W14" s="91" t="s">
        <v>413</v>
      </c>
    </row>
    <row r="15" spans="1:26" x14ac:dyDescent="0.35">
      <c r="B15" s="89" t="s">
        <v>431</v>
      </c>
      <c r="C15" t="s">
        <v>369</v>
      </c>
      <c r="D15">
        <v>12</v>
      </c>
      <c r="E15">
        <v>65</v>
      </c>
      <c r="F15" t="s">
        <v>72</v>
      </c>
      <c r="G15" t="s">
        <v>115</v>
      </c>
      <c r="H15" t="s">
        <v>19</v>
      </c>
      <c r="I15" s="6" t="s">
        <v>21</v>
      </c>
      <c r="K15" s="39"/>
      <c r="L15" s="1"/>
      <c r="M15" s="1"/>
      <c r="N15" s="1"/>
      <c r="O15" s="1"/>
      <c r="P15" s="1"/>
      <c r="Q15" s="1"/>
      <c r="R15" s="1"/>
      <c r="S15" s="1"/>
      <c r="T15" s="1"/>
      <c r="U15" s="102"/>
      <c r="V15" s="91"/>
      <c r="W15" s="91"/>
    </row>
    <row r="16" spans="1:26" x14ac:dyDescent="0.35">
      <c r="B16" s="89" t="s">
        <v>431</v>
      </c>
      <c r="C16" t="s">
        <v>369</v>
      </c>
      <c r="D16">
        <v>12</v>
      </c>
      <c r="E16">
        <v>65</v>
      </c>
      <c r="F16" t="s">
        <v>72</v>
      </c>
      <c r="G16" t="s">
        <v>116</v>
      </c>
      <c r="H16" t="s">
        <v>19</v>
      </c>
      <c r="I16" s="6" t="s">
        <v>21</v>
      </c>
      <c r="K16" s="39">
        <v>175.11439633931715</v>
      </c>
      <c r="L16" s="1">
        <v>134.92901560483398</v>
      </c>
      <c r="M16" s="1">
        <v>122.02276193828465</v>
      </c>
      <c r="N16" s="1">
        <v>117.18291681332865</v>
      </c>
      <c r="O16" s="1">
        <v>106.62325472251555</v>
      </c>
      <c r="P16" s="1">
        <v>20.092690367241584</v>
      </c>
      <c r="Q16" s="1"/>
      <c r="R16" s="1"/>
      <c r="S16" s="1"/>
      <c r="T16" s="1"/>
      <c r="U16" s="102"/>
      <c r="V16" s="91"/>
      <c r="W16" s="91"/>
    </row>
    <row r="17" spans="1:26" x14ac:dyDescent="0.35">
      <c r="B17" s="89" t="s">
        <v>431</v>
      </c>
      <c r="C17" t="s">
        <v>369</v>
      </c>
      <c r="D17">
        <v>12</v>
      </c>
      <c r="E17">
        <v>65</v>
      </c>
      <c r="F17" t="s">
        <v>72</v>
      </c>
      <c r="G17" t="s">
        <v>117</v>
      </c>
      <c r="H17" t="s">
        <v>19</v>
      </c>
      <c r="I17" s="6" t="s">
        <v>21</v>
      </c>
      <c r="K17" s="39">
        <v>203.42015722163558</v>
      </c>
      <c r="L17" s="1">
        <v>179.22093159685559</v>
      </c>
      <c r="M17" s="1">
        <v>150.18186084711957</v>
      </c>
      <c r="N17" s="1">
        <v>117.18291681332865</v>
      </c>
      <c r="O17" s="1">
        <v>80.810747389416875</v>
      </c>
      <c r="P17" s="1">
        <v>43.998592045054558</v>
      </c>
      <c r="Q17" s="1"/>
      <c r="R17" s="1"/>
      <c r="S17" s="1"/>
      <c r="T17" s="1"/>
      <c r="U17" s="102"/>
      <c r="V17" s="91"/>
      <c r="W17" s="91"/>
    </row>
    <row r="18" spans="1:26" x14ac:dyDescent="0.35">
      <c r="B18" s="95" t="s">
        <v>431</v>
      </c>
      <c r="C18" s="96" t="s">
        <v>369</v>
      </c>
      <c r="D18" s="96">
        <v>12</v>
      </c>
      <c r="E18" s="96">
        <v>65</v>
      </c>
      <c r="F18" s="96" t="s">
        <v>72</v>
      </c>
      <c r="G18" s="96" t="s">
        <v>118</v>
      </c>
      <c r="H18" s="96" t="s">
        <v>19</v>
      </c>
      <c r="I18" s="97" t="s">
        <v>21</v>
      </c>
      <c r="J18" s="98"/>
      <c r="K18" s="103">
        <v>151.79514255543825</v>
      </c>
      <c r="L18" s="104">
        <v>157.2216355743283</v>
      </c>
      <c r="M18" s="104">
        <v>136.10231139270212</v>
      </c>
      <c r="N18" s="104">
        <v>99.876803942273852</v>
      </c>
      <c r="O18" s="104">
        <v>76.117564237944393</v>
      </c>
      <c r="P18" s="104">
        <v>58.664789393406082</v>
      </c>
      <c r="Q18" s="104"/>
      <c r="R18" s="104"/>
      <c r="S18" s="104"/>
      <c r="T18" s="104"/>
      <c r="U18" s="105"/>
      <c r="V18" s="106"/>
      <c r="W18" s="106"/>
      <c r="Z18" s="92"/>
    </row>
    <row r="19" spans="1:26" x14ac:dyDescent="0.35">
      <c r="A19">
        <v>3</v>
      </c>
      <c r="B19" s="89" t="s">
        <v>430</v>
      </c>
      <c r="C19" t="s">
        <v>369</v>
      </c>
      <c r="D19">
        <v>12</v>
      </c>
      <c r="E19">
        <v>65</v>
      </c>
      <c r="F19" t="s">
        <v>72</v>
      </c>
      <c r="G19" t="s">
        <v>44</v>
      </c>
      <c r="H19" t="s">
        <v>46</v>
      </c>
      <c r="I19" s="6" t="s">
        <v>21</v>
      </c>
      <c r="J19" s="7">
        <v>0.627</v>
      </c>
      <c r="K19" s="89"/>
      <c r="U19" s="90"/>
      <c r="V19" s="91">
        <f>MAX(K19:U23)</f>
        <v>232.24462307518201</v>
      </c>
      <c r="W19" s="91" t="s">
        <v>413</v>
      </c>
    </row>
    <row r="20" spans="1:26" x14ac:dyDescent="0.35">
      <c r="B20" s="89" t="s">
        <v>430</v>
      </c>
      <c r="C20" t="s">
        <v>369</v>
      </c>
      <c r="D20">
        <v>12</v>
      </c>
      <c r="E20">
        <v>65</v>
      </c>
      <c r="F20" t="s">
        <v>72</v>
      </c>
      <c r="G20" t="s">
        <v>115</v>
      </c>
      <c r="H20" t="s">
        <v>19</v>
      </c>
      <c r="I20" s="6" t="s">
        <v>21</v>
      </c>
      <c r="K20" s="89"/>
      <c r="L20" s="36"/>
      <c r="M20" s="36"/>
      <c r="N20" s="36"/>
      <c r="O20" s="36"/>
      <c r="P20" s="36"/>
      <c r="Q20" s="36"/>
      <c r="R20" s="36"/>
      <c r="S20" s="36"/>
      <c r="T20" s="36"/>
      <c r="U20" s="93"/>
      <c r="V20" s="94"/>
      <c r="W20" s="94"/>
    </row>
    <row r="21" spans="1:26" x14ac:dyDescent="0.35">
      <c r="B21" s="89" t="s">
        <v>430</v>
      </c>
      <c r="C21" t="s">
        <v>369</v>
      </c>
      <c r="D21">
        <v>12</v>
      </c>
      <c r="E21">
        <v>65</v>
      </c>
      <c r="F21" t="s">
        <v>72</v>
      </c>
      <c r="G21" t="s">
        <v>116</v>
      </c>
      <c r="H21" t="s">
        <v>19</v>
      </c>
      <c r="I21" s="6" t="s">
        <v>21</v>
      </c>
      <c r="K21" s="40">
        <v>158.98391094554361</v>
      </c>
      <c r="L21" s="36">
        <v>148.717422231348</v>
      </c>
      <c r="M21" s="36">
        <v>128.7711013009108</v>
      </c>
      <c r="N21" s="36">
        <v>117.33129959080709</v>
      </c>
      <c r="O21" s="36">
        <v>111.31807048677823</v>
      </c>
      <c r="P21" s="36">
        <v>100.75825352360559</v>
      </c>
      <c r="Q21" s="36">
        <v>0</v>
      </c>
      <c r="R21" s="36"/>
      <c r="S21" s="36"/>
      <c r="T21" s="36"/>
      <c r="U21" s="93"/>
      <c r="V21" s="94"/>
      <c r="W21" s="94"/>
    </row>
    <row r="22" spans="1:26" x14ac:dyDescent="0.35">
      <c r="B22" s="89" t="s">
        <v>430</v>
      </c>
      <c r="C22" t="s">
        <v>369</v>
      </c>
      <c r="D22">
        <v>12</v>
      </c>
      <c r="E22">
        <v>65</v>
      </c>
      <c r="F22" t="s">
        <v>72</v>
      </c>
      <c r="G22" t="s">
        <v>117</v>
      </c>
      <c r="H22" t="s">
        <v>19</v>
      </c>
      <c r="I22" s="6" t="s">
        <v>21</v>
      </c>
      <c r="K22" s="39">
        <v>232.24462307518201</v>
      </c>
      <c r="L22" s="1">
        <v>203.42314066556179</v>
      </c>
      <c r="M22" s="1">
        <v>149.15741460481351</v>
      </c>
      <c r="N22" s="1">
        <v>96.651658037927348</v>
      </c>
      <c r="O22" s="1">
        <v>48.252496956719419</v>
      </c>
      <c r="P22" s="1">
        <v>6.893213850959917</v>
      </c>
      <c r="Q22" s="1">
        <v>1</v>
      </c>
      <c r="R22" s="1"/>
      <c r="S22" s="1"/>
      <c r="T22" s="1"/>
      <c r="U22" s="102"/>
      <c r="V22" s="91"/>
      <c r="W22" s="91"/>
    </row>
    <row r="23" spans="1:26" x14ac:dyDescent="0.35">
      <c r="B23" s="95" t="s">
        <v>430</v>
      </c>
      <c r="C23" s="96" t="s">
        <v>369</v>
      </c>
      <c r="D23" s="96">
        <v>12</v>
      </c>
      <c r="E23" s="96">
        <v>65</v>
      </c>
      <c r="F23" s="96" t="s">
        <v>72</v>
      </c>
      <c r="G23" s="96" t="s">
        <v>118</v>
      </c>
      <c r="H23" s="96" t="s">
        <v>19</v>
      </c>
      <c r="I23" s="97" t="s">
        <v>21</v>
      </c>
      <c r="J23" s="98"/>
      <c r="K23" s="103">
        <v>137.71761289470982</v>
      </c>
      <c r="L23" s="104">
        <v>120.11791795608876</v>
      </c>
      <c r="M23" s="104">
        <v>100.46492527462857</v>
      </c>
      <c r="N23" s="104">
        <v>81.251924966633908</v>
      </c>
      <c r="O23" s="104">
        <v>70.252115629995743</v>
      </c>
      <c r="P23" s="104">
        <v>53.239077189328718</v>
      </c>
      <c r="Q23" s="104">
        <v>39.305985362920374</v>
      </c>
      <c r="R23" s="104"/>
      <c r="S23" s="104"/>
      <c r="T23" s="104"/>
      <c r="U23" s="105"/>
      <c r="V23" s="106"/>
      <c r="W23" s="106"/>
    </row>
    <row r="24" spans="1:26" x14ac:dyDescent="0.35">
      <c r="A24">
        <v>3</v>
      </c>
      <c r="B24" s="89" t="s">
        <v>430</v>
      </c>
      <c r="C24" t="s">
        <v>372</v>
      </c>
      <c r="D24">
        <v>25</v>
      </c>
      <c r="E24">
        <v>65</v>
      </c>
      <c r="F24" t="s">
        <v>72</v>
      </c>
      <c r="G24" t="s">
        <v>44</v>
      </c>
      <c r="H24" t="s">
        <v>46</v>
      </c>
      <c r="I24" s="6" t="s">
        <v>142</v>
      </c>
      <c r="J24" s="7">
        <v>0.41799999999999998</v>
      </c>
      <c r="K24" s="89"/>
      <c r="U24" s="90"/>
      <c r="V24" s="91">
        <f>MAX(K24:U28)</f>
        <v>307.04640200029638</v>
      </c>
      <c r="W24" s="91" t="s">
        <v>413</v>
      </c>
    </row>
    <row r="25" spans="1:26" x14ac:dyDescent="0.35">
      <c r="B25" s="89" t="s">
        <v>430</v>
      </c>
      <c r="C25" t="s">
        <v>372</v>
      </c>
      <c r="D25">
        <v>25</v>
      </c>
      <c r="E25">
        <v>65</v>
      </c>
      <c r="F25" t="s">
        <v>72</v>
      </c>
      <c r="G25" t="s">
        <v>115</v>
      </c>
      <c r="H25" t="s">
        <v>19</v>
      </c>
      <c r="I25" s="6" t="s">
        <v>142</v>
      </c>
      <c r="K25" s="89"/>
      <c r="L25" s="36"/>
      <c r="M25" s="36"/>
      <c r="N25" s="36"/>
      <c r="O25" s="36"/>
      <c r="P25" s="36"/>
      <c r="Q25" s="36"/>
      <c r="R25" s="36"/>
      <c r="S25" s="36"/>
      <c r="T25" s="36"/>
      <c r="U25" s="93"/>
      <c r="V25" s="94"/>
      <c r="W25" s="94"/>
    </row>
    <row r="26" spans="1:26" x14ac:dyDescent="0.35">
      <c r="B26" s="89" t="s">
        <v>430</v>
      </c>
      <c r="C26" t="s">
        <v>372</v>
      </c>
      <c r="D26">
        <v>25</v>
      </c>
      <c r="E26">
        <v>65</v>
      </c>
      <c r="F26" t="s">
        <v>72</v>
      </c>
      <c r="G26" t="s">
        <v>116</v>
      </c>
      <c r="H26" t="s">
        <v>19</v>
      </c>
      <c r="I26" s="6" t="s">
        <v>142</v>
      </c>
      <c r="K26" s="40">
        <v>129.35775779886481</v>
      </c>
      <c r="L26" s="36">
        <v>99.731604652186036</v>
      </c>
      <c r="M26" s="36">
        <v>63.065573530058813</v>
      </c>
      <c r="N26" s="36">
        <v>64.825543023920915</v>
      </c>
      <c r="O26" s="36">
        <v>37.399351744569763</v>
      </c>
      <c r="P26" s="36">
        <v>6.3065573530058812</v>
      </c>
      <c r="Q26" s="36">
        <v>1</v>
      </c>
      <c r="R26" s="36"/>
      <c r="S26" s="36"/>
      <c r="T26" s="36"/>
      <c r="U26" s="93"/>
      <c r="V26" s="94"/>
      <c r="W26" s="94"/>
    </row>
    <row r="27" spans="1:26" x14ac:dyDescent="0.35">
      <c r="B27" s="89" t="s">
        <v>430</v>
      </c>
      <c r="C27" t="s">
        <v>372</v>
      </c>
      <c r="D27">
        <v>25</v>
      </c>
      <c r="E27">
        <v>65</v>
      </c>
      <c r="F27" t="s">
        <v>72</v>
      </c>
      <c r="G27" t="s">
        <v>117</v>
      </c>
      <c r="H27" t="s">
        <v>19</v>
      </c>
      <c r="I27" s="6" t="s">
        <v>142</v>
      </c>
      <c r="K27" s="39">
        <v>232.84396403795668</v>
      </c>
      <c r="L27" s="1">
        <v>307.04640200029638</v>
      </c>
      <c r="M27" s="1">
        <v>258.64914803301696</v>
      </c>
      <c r="N27" s="1">
        <v>242.49017885937167</v>
      </c>
      <c r="O27" s="1">
        <v>250.31690469696798</v>
      </c>
      <c r="P27" s="1">
        <v>251.38522081994418</v>
      </c>
      <c r="Q27" s="1">
        <v>253.20414193389368</v>
      </c>
      <c r="R27" s="1"/>
      <c r="S27" s="1"/>
      <c r="T27" s="1"/>
      <c r="U27" s="102"/>
      <c r="V27" s="91"/>
      <c r="W27" s="91"/>
    </row>
    <row r="28" spans="1:26" x14ac:dyDescent="0.35">
      <c r="B28" s="95" t="s">
        <v>430</v>
      </c>
      <c r="C28" s="96" t="s">
        <v>372</v>
      </c>
      <c r="D28" s="96">
        <v>25</v>
      </c>
      <c r="E28" s="96">
        <v>65</v>
      </c>
      <c r="F28" s="96" t="s">
        <v>72</v>
      </c>
      <c r="G28" s="96" t="s">
        <v>118</v>
      </c>
      <c r="H28" s="96" t="s">
        <v>19</v>
      </c>
      <c r="I28" s="97" t="s">
        <v>142</v>
      </c>
      <c r="J28" s="98"/>
      <c r="K28" s="103">
        <v>129.35775779886481</v>
      </c>
      <c r="L28" s="104">
        <v>141.53088013141107</v>
      </c>
      <c r="M28" s="104">
        <v>136.54429989880177</v>
      </c>
      <c r="N28" s="104">
        <v>154.43732308639983</v>
      </c>
      <c r="O28" s="104">
        <v>171.01036915360135</v>
      </c>
      <c r="P28" s="104">
        <v>174.23697989234853</v>
      </c>
      <c r="Q28" s="104">
        <v>182.15684261472802</v>
      </c>
      <c r="R28" s="104"/>
      <c r="S28" s="104"/>
      <c r="T28" s="104"/>
      <c r="U28" s="105"/>
      <c r="V28" s="106"/>
      <c r="W28" s="106"/>
    </row>
    <row r="29" spans="1:26" x14ac:dyDescent="0.35">
      <c r="A29">
        <v>4</v>
      </c>
      <c r="B29" s="150" t="s">
        <v>480</v>
      </c>
      <c r="C29" s="37" t="s">
        <v>370</v>
      </c>
      <c r="D29" s="37">
        <v>15</v>
      </c>
      <c r="E29" s="37">
        <v>65</v>
      </c>
      <c r="F29" s="37" t="s">
        <v>72</v>
      </c>
      <c r="G29" s="37" t="s">
        <v>44</v>
      </c>
      <c r="H29" s="37" t="s">
        <v>46</v>
      </c>
      <c r="I29" s="151" t="s">
        <v>12</v>
      </c>
      <c r="J29" s="152">
        <v>1.254</v>
      </c>
      <c r="K29" s="150"/>
      <c r="L29" s="37"/>
      <c r="M29" s="37"/>
      <c r="N29" s="37"/>
      <c r="O29" s="37"/>
      <c r="P29" s="37"/>
      <c r="Q29" s="37"/>
      <c r="R29" s="37"/>
      <c r="S29" s="37"/>
      <c r="T29" s="37"/>
      <c r="U29" s="147"/>
      <c r="V29" s="153">
        <f>MAX(K29:U33)</f>
        <v>335.79559580222542</v>
      </c>
      <c r="W29" s="153" t="s">
        <v>413</v>
      </c>
    </row>
    <row r="30" spans="1:26" x14ac:dyDescent="0.35">
      <c r="B30" s="150" t="s">
        <v>480</v>
      </c>
      <c r="C30" s="37" t="s">
        <v>370</v>
      </c>
      <c r="D30" s="37">
        <v>15</v>
      </c>
      <c r="E30" s="37">
        <v>65</v>
      </c>
      <c r="F30" s="37" t="s">
        <v>72</v>
      </c>
      <c r="G30" s="37" t="s">
        <v>115</v>
      </c>
      <c r="H30" s="37" t="s">
        <v>19</v>
      </c>
      <c r="I30" s="151" t="s">
        <v>12</v>
      </c>
      <c r="J30" s="152"/>
      <c r="K30" s="150"/>
      <c r="L30" s="148"/>
      <c r="M30" s="148"/>
      <c r="N30" s="148"/>
      <c r="O30" s="148"/>
      <c r="P30" s="148"/>
      <c r="Q30" s="148"/>
      <c r="R30" s="148"/>
      <c r="S30" s="148"/>
      <c r="T30" s="148"/>
      <c r="U30" s="149"/>
      <c r="V30" s="154"/>
      <c r="W30" s="154"/>
    </row>
    <row r="31" spans="1:26" x14ac:dyDescent="0.35">
      <c r="B31" s="150" t="s">
        <v>480</v>
      </c>
      <c r="C31" s="37" t="s">
        <v>370</v>
      </c>
      <c r="D31" s="37">
        <v>15</v>
      </c>
      <c r="E31" s="37">
        <v>65</v>
      </c>
      <c r="F31" s="37" t="s">
        <v>72</v>
      </c>
      <c r="G31" s="37" t="s">
        <v>116</v>
      </c>
      <c r="H31" s="37" t="s">
        <v>19</v>
      </c>
      <c r="I31" s="151" t="s">
        <v>12</v>
      </c>
      <c r="J31" s="152"/>
      <c r="K31" s="160">
        <v>164.29704844523258</v>
      </c>
      <c r="L31" s="148">
        <v>154.66668627047372</v>
      </c>
      <c r="M31" s="148">
        <v>140.21547099490968</v>
      </c>
      <c r="N31" s="148">
        <v>137.76135415540071</v>
      </c>
      <c r="O31" s="148">
        <v>133.683607954937</v>
      </c>
      <c r="P31" s="148">
        <v>122.71958079269791</v>
      </c>
      <c r="Q31" s="148">
        <v>111.46001332304887</v>
      </c>
      <c r="R31" s="148">
        <v>85.998320206755949</v>
      </c>
      <c r="S31" s="148">
        <v>63.517985355445823</v>
      </c>
      <c r="T31" s="148">
        <v>42.441010253725644</v>
      </c>
      <c r="U31" s="149">
        <v>36.488842160352043</v>
      </c>
      <c r="V31" s="154"/>
      <c r="W31" s="154"/>
    </row>
    <row r="32" spans="1:26" x14ac:dyDescent="0.35">
      <c r="B32" s="150" t="s">
        <v>480</v>
      </c>
      <c r="C32" s="37" t="s">
        <v>370</v>
      </c>
      <c r="D32" s="37">
        <v>15</v>
      </c>
      <c r="E32" s="37">
        <v>65</v>
      </c>
      <c r="F32" s="37" t="s">
        <v>72</v>
      </c>
      <c r="G32" s="37" t="s">
        <v>117</v>
      </c>
      <c r="H32" s="37" t="s">
        <v>19</v>
      </c>
      <c r="I32" s="151" t="s">
        <v>12</v>
      </c>
      <c r="J32" s="152"/>
      <c r="K32" s="155">
        <v>335.79559580222542</v>
      </c>
      <c r="L32" s="135">
        <v>331.6530945309579</v>
      </c>
      <c r="M32" s="135">
        <v>325.48506764384507</v>
      </c>
      <c r="N32" s="135">
        <v>324.08792754944312</v>
      </c>
      <c r="O32" s="135">
        <v>325.78905269792892</v>
      </c>
      <c r="P32" s="135">
        <v>325.30262942473632</v>
      </c>
      <c r="Q32" s="135">
        <v>325.13163891954133</v>
      </c>
      <c r="R32" s="135">
        <v>329.88796424265593</v>
      </c>
      <c r="S32" s="135">
        <v>333.76763181883609</v>
      </c>
      <c r="T32" s="135">
        <v>331.23762895057905</v>
      </c>
      <c r="U32" s="163">
        <v>324.86821766874084</v>
      </c>
      <c r="V32" s="153"/>
      <c r="W32" s="153"/>
    </row>
    <row r="33" spans="1:23" x14ac:dyDescent="0.35">
      <c r="B33" s="156" t="s">
        <v>480</v>
      </c>
      <c r="C33" s="157" t="s">
        <v>370</v>
      </c>
      <c r="D33" s="157">
        <v>15</v>
      </c>
      <c r="E33" s="157">
        <v>65</v>
      </c>
      <c r="F33" s="157" t="s">
        <v>72</v>
      </c>
      <c r="G33" s="157" t="s">
        <v>118</v>
      </c>
      <c r="H33" s="157" t="s">
        <v>19</v>
      </c>
      <c r="I33" s="158" t="s">
        <v>12</v>
      </c>
      <c r="J33" s="159"/>
      <c r="K33" s="164">
        <v>263.76886124838074</v>
      </c>
      <c r="L33" s="165">
        <v>254.43412799507388</v>
      </c>
      <c r="M33" s="165">
        <v>252.46785491531924</v>
      </c>
      <c r="N33" s="165">
        <v>259.35800225781333</v>
      </c>
      <c r="O33" s="165">
        <v>267.82822770234611</v>
      </c>
      <c r="P33" s="165">
        <v>273.5935812126786</v>
      </c>
      <c r="Q33" s="165">
        <v>276.40799668953605</v>
      </c>
      <c r="R33" s="165">
        <v>288.70734414014504</v>
      </c>
      <c r="S33" s="165">
        <v>295.05322433616612</v>
      </c>
      <c r="T33" s="165">
        <v>288.01834624231043</v>
      </c>
      <c r="U33" s="166">
        <v>274.9672496332563</v>
      </c>
      <c r="V33" s="167"/>
      <c r="W33" s="167"/>
    </row>
    <row r="34" spans="1:23" x14ac:dyDescent="0.35">
      <c r="A34">
        <v>4</v>
      </c>
      <c r="B34" s="150" t="s">
        <v>480</v>
      </c>
      <c r="C34" s="37" t="s">
        <v>388</v>
      </c>
      <c r="D34" s="37">
        <v>20</v>
      </c>
      <c r="E34" s="37">
        <v>65</v>
      </c>
      <c r="F34" s="37" t="s">
        <v>72</v>
      </c>
      <c r="G34" s="37" t="s">
        <v>44</v>
      </c>
      <c r="H34" s="37" t="s">
        <v>46</v>
      </c>
      <c r="I34" s="151" t="s">
        <v>12</v>
      </c>
      <c r="J34" s="152">
        <v>1.4239999999999999</v>
      </c>
      <c r="K34" s="150"/>
      <c r="L34" s="37"/>
      <c r="M34" s="37"/>
      <c r="N34" s="37"/>
      <c r="O34" s="37"/>
      <c r="P34" s="37"/>
      <c r="Q34" s="37"/>
      <c r="R34" s="37"/>
      <c r="S34" s="37"/>
      <c r="T34" s="37"/>
      <c r="U34" s="147"/>
      <c r="V34" s="153">
        <f>MAX(K34:U38)</f>
        <v>383.8998896205452</v>
      </c>
      <c r="W34" s="153" t="s">
        <v>413</v>
      </c>
    </row>
    <row r="35" spans="1:23" x14ac:dyDescent="0.35">
      <c r="B35" s="150" t="s">
        <v>480</v>
      </c>
      <c r="C35" s="37" t="s">
        <v>388</v>
      </c>
      <c r="D35" s="37">
        <v>20</v>
      </c>
      <c r="E35" s="37">
        <v>65</v>
      </c>
      <c r="F35" s="37" t="s">
        <v>72</v>
      </c>
      <c r="G35" s="37" t="s">
        <v>115</v>
      </c>
      <c r="H35" s="37" t="s">
        <v>19</v>
      </c>
      <c r="I35" s="151" t="s">
        <v>12</v>
      </c>
      <c r="J35" s="152"/>
      <c r="K35" s="150"/>
      <c r="L35" s="148"/>
      <c r="M35" s="148"/>
      <c r="N35" s="148"/>
      <c r="O35" s="148"/>
      <c r="P35" s="148"/>
      <c r="Q35" s="148"/>
      <c r="R35" s="148"/>
      <c r="S35" s="148"/>
      <c r="T35" s="148"/>
      <c r="U35" s="149"/>
      <c r="V35" s="154"/>
      <c r="W35" s="154"/>
    </row>
    <row r="36" spans="1:23" x14ac:dyDescent="0.35">
      <c r="B36" s="150" t="s">
        <v>480</v>
      </c>
      <c r="C36" s="37" t="s">
        <v>388</v>
      </c>
      <c r="D36" s="37">
        <v>20</v>
      </c>
      <c r="E36" s="37">
        <v>65</v>
      </c>
      <c r="F36" s="37" t="s">
        <v>72</v>
      </c>
      <c r="G36" s="37" t="s">
        <v>116</v>
      </c>
      <c r="H36" s="37" t="s">
        <v>19</v>
      </c>
      <c r="I36" s="151" t="s">
        <v>12</v>
      </c>
      <c r="J36" s="152"/>
      <c r="K36" s="160">
        <v>164.07288517057421</v>
      </c>
      <c r="L36" s="148">
        <v>156.77813989883916</v>
      </c>
      <c r="M36" s="148">
        <v>155.05746510089907</v>
      </c>
      <c r="N36" s="148">
        <v>158.3914307821646</v>
      </c>
      <c r="O36" s="148">
        <v>147.16271649954422</v>
      </c>
      <c r="P36" s="148">
        <v>130.86531745374043</v>
      </c>
      <c r="Q36" s="148">
        <v>105.26903596201561</v>
      </c>
      <c r="R36" s="148">
        <v>64.154988129463973</v>
      </c>
      <c r="S36" s="148">
        <v>48.540366880157215</v>
      </c>
      <c r="T36" s="148">
        <v>43.633975583730006</v>
      </c>
      <c r="U36" s="149">
        <v>38.634043003225152</v>
      </c>
      <c r="V36" s="154"/>
      <c r="W36" s="154"/>
    </row>
    <row r="37" spans="1:23" x14ac:dyDescent="0.35">
      <c r="B37" s="150" t="s">
        <v>480</v>
      </c>
      <c r="C37" s="37" t="s">
        <v>388</v>
      </c>
      <c r="D37" s="37">
        <v>20</v>
      </c>
      <c r="E37" s="37">
        <v>65</v>
      </c>
      <c r="F37" s="37" t="s">
        <v>72</v>
      </c>
      <c r="G37" s="37" t="s">
        <v>117</v>
      </c>
      <c r="H37" s="37" t="s">
        <v>19</v>
      </c>
      <c r="I37" s="151" t="s">
        <v>12</v>
      </c>
      <c r="J37" s="152"/>
      <c r="K37" s="155">
        <v>383.8998896205452</v>
      </c>
      <c r="L37" s="135">
        <v>382.16333584277584</v>
      </c>
      <c r="M37" s="135">
        <v>382.26648156356373</v>
      </c>
      <c r="N37" s="135">
        <v>381.06674546966252</v>
      </c>
      <c r="O37" s="135">
        <v>380.10883829024215</v>
      </c>
      <c r="P37" s="135">
        <v>379.22002444141032</v>
      </c>
      <c r="Q37" s="135">
        <v>377.35195968848723</v>
      </c>
      <c r="R37" s="135">
        <v>378.51266334084005</v>
      </c>
      <c r="S37" s="135">
        <v>378.55168681907804</v>
      </c>
      <c r="T37" s="135">
        <v>374.51961496913896</v>
      </c>
      <c r="U37" s="163">
        <v>377.243145021418</v>
      </c>
      <c r="V37" s="153"/>
      <c r="W37" s="153"/>
    </row>
    <row r="38" spans="1:23" x14ac:dyDescent="0.35">
      <c r="B38" s="156" t="s">
        <v>480</v>
      </c>
      <c r="C38" s="157" t="s">
        <v>388</v>
      </c>
      <c r="D38" s="157">
        <v>20</v>
      </c>
      <c r="E38" s="157">
        <v>65</v>
      </c>
      <c r="F38" s="157" t="s">
        <v>72</v>
      </c>
      <c r="G38" s="157" t="s">
        <v>118</v>
      </c>
      <c r="H38" s="157" t="s">
        <v>19</v>
      </c>
      <c r="I38" s="158" t="s">
        <v>12</v>
      </c>
      <c r="J38" s="159"/>
      <c r="K38" s="164">
        <v>285.41725760387328</v>
      </c>
      <c r="L38" s="165">
        <v>285.72053825303203</v>
      </c>
      <c r="M38" s="165">
        <v>295.74573857906921</v>
      </c>
      <c r="N38" s="165">
        <v>312.43275652286184</v>
      </c>
      <c r="O38" s="165">
        <v>323.76152789780866</v>
      </c>
      <c r="P38" s="165">
        <v>330.42298570399879</v>
      </c>
      <c r="Q38" s="165">
        <v>337.40648303944675</v>
      </c>
      <c r="R38" s="165">
        <v>356.48745634104552</v>
      </c>
      <c r="S38" s="165">
        <v>367.26723506175489</v>
      </c>
      <c r="T38" s="165">
        <v>366.04704694920906</v>
      </c>
      <c r="U38" s="166">
        <v>361.06717071514112</v>
      </c>
      <c r="V38" s="167"/>
      <c r="W38" s="167"/>
    </row>
    <row r="39" spans="1:23" x14ac:dyDescent="0.35">
      <c r="A39">
        <v>4</v>
      </c>
      <c r="B39" s="89" t="s">
        <v>433</v>
      </c>
      <c r="C39" t="s">
        <v>369</v>
      </c>
      <c r="D39">
        <v>12</v>
      </c>
      <c r="E39">
        <v>65</v>
      </c>
      <c r="F39" t="s">
        <v>72</v>
      </c>
      <c r="G39" t="s">
        <v>44</v>
      </c>
      <c r="H39" t="s">
        <v>46</v>
      </c>
      <c r="I39" s="6" t="s">
        <v>21</v>
      </c>
      <c r="J39" s="7">
        <v>1.5888</v>
      </c>
      <c r="K39" s="89"/>
      <c r="U39" s="90"/>
      <c r="V39" s="91">
        <f>MAX(K39:U43)</f>
        <v>400.96973258889216</v>
      </c>
      <c r="W39" s="91" t="s">
        <v>413</v>
      </c>
    </row>
    <row r="40" spans="1:23" x14ac:dyDescent="0.35">
      <c r="B40" s="89" t="s">
        <v>433</v>
      </c>
      <c r="C40" t="s">
        <v>369</v>
      </c>
      <c r="D40">
        <v>12</v>
      </c>
      <c r="E40">
        <v>65</v>
      </c>
      <c r="F40" t="s">
        <v>72</v>
      </c>
      <c r="G40" t="s">
        <v>115</v>
      </c>
      <c r="H40" t="s">
        <v>19</v>
      </c>
      <c r="I40" s="6" t="s">
        <v>21</v>
      </c>
      <c r="K40" s="89"/>
      <c r="L40" s="36"/>
      <c r="M40" s="36"/>
      <c r="N40" s="36"/>
      <c r="O40" s="36"/>
      <c r="P40" s="36"/>
      <c r="Q40" s="36"/>
      <c r="R40" s="36"/>
      <c r="S40" s="36"/>
      <c r="T40" s="36"/>
      <c r="U40" s="93"/>
      <c r="V40" s="94"/>
      <c r="W40" s="94"/>
    </row>
    <row r="41" spans="1:23" x14ac:dyDescent="0.35">
      <c r="B41" s="89" t="s">
        <v>433</v>
      </c>
      <c r="C41" t="s">
        <v>369</v>
      </c>
      <c r="D41">
        <v>12</v>
      </c>
      <c r="E41">
        <v>65</v>
      </c>
      <c r="F41" t="s">
        <v>72</v>
      </c>
      <c r="G41" t="s">
        <v>116</v>
      </c>
      <c r="H41" t="s">
        <v>19</v>
      </c>
      <c r="I41" s="6" t="s">
        <v>21</v>
      </c>
      <c r="K41" s="40">
        <v>276.66764619453426</v>
      </c>
      <c r="L41" s="36">
        <v>262.41551572142225</v>
      </c>
      <c r="M41" s="36">
        <v>238.02527181898324</v>
      </c>
      <c r="N41" s="36">
        <v>206.28856890978548</v>
      </c>
      <c r="O41" s="36">
        <v>190.42021745518659</v>
      </c>
      <c r="P41" s="36">
        <v>170.87863649720833</v>
      </c>
      <c r="Q41" s="36">
        <v>156.92036438436674</v>
      </c>
      <c r="R41" s="36">
        <v>133.99941228327947</v>
      </c>
      <c r="S41" s="36">
        <v>105.05436379665001</v>
      </c>
      <c r="T41" s="36"/>
      <c r="U41" s="93"/>
      <c r="V41" s="94"/>
      <c r="W41" s="94"/>
    </row>
    <row r="42" spans="1:23" x14ac:dyDescent="0.35">
      <c r="B42" s="89" t="s">
        <v>433</v>
      </c>
      <c r="C42" t="s">
        <v>369</v>
      </c>
      <c r="D42">
        <v>12</v>
      </c>
      <c r="E42">
        <v>65</v>
      </c>
      <c r="F42" t="s">
        <v>72</v>
      </c>
      <c r="G42" t="s">
        <v>117</v>
      </c>
      <c r="H42" t="s">
        <v>19</v>
      </c>
      <c r="I42" s="6" t="s">
        <v>21</v>
      </c>
      <c r="K42" s="39">
        <v>400.96973258889216</v>
      </c>
      <c r="L42" s="1">
        <v>395.09256538348518</v>
      </c>
      <c r="M42" s="1">
        <v>379.37114310902143</v>
      </c>
      <c r="N42" s="1">
        <v>357.47869526888041</v>
      </c>
      <c r="O42" s="1">
        <v>342.19806053482222</v>
      </c>
      <c r="P42" s="1">
        <v>327.35821334116957</v>
      </c>
      <c r="Q42" s="1">
        <v>306.93505730238024</v>
      </c>
      <c r="R42" s="1">
        <v>285.92418454305027</v>
      </c>
      <c r="S42" s="1">
        <v>248.89803114898618</v>
      </c>
      <c r="T42" s="1"/>
      <c r="U42" s="102"/>
      <c r="V42" s="91"/>
      <c r="W42" s="91"/>
    </row>
    <row r="43" spans="1:23" x14ac:dyDescent="0.35">
      <c r="B43" s="95" t="s">
        <v>433</v>
      </c>
      <c r="C43" s="96" t="s">
        <v>369</v>
      </c>
      <c r="D43" s="96">
        <v>12</v>
      </c>
      <c r="E43" s="96">
        <v>65</v>
      </c>
      <c r="F43" s="96" t="s">
        <v>72</v>
      </c>
      <c r="G43" s="96" t="s">
        <v>118</v>
      </c>
      <c r="H43" s="96" t="s">
        <v>19</v>
      </c>
      <c r="I43" s="97" t="s">
        <v>21</v>
      </c>
      <c r="J43" s="98"/>
      <c r="K43" s="103">
        <v>233.61739641492801</v>
      </c>
      <c r="L43" s="104">
        <v>229.06259183073757</v>
      </c>
      <c r="M43" s="104">
        <v>226.41786658830443</v>
      </c>
      <c r="N43" s="104">
        <v>206.28856890978548</v>
      </c>
      <c r="O43" s="104">
        <v>160.44666470761092</v>
      </c>
      <c r="P43" s="104">
        <v>109.31531002057008</v>
      </c>
      <c r="Q43" s="104">
        <v>66.705847781369386</v>
      </c>
      <c r="R43" s="104">
        <v>1.1754334410813987</v>
      </c>
      <c r="S43" s="104"/>
      <c r="T43" s="104"/>
      <c r="U43" s="105"/>
      <c r="V43" s="106"/>
      <c r="W43" s="106"/>
    </row>
    <row r="44" spans="1:23" x14ac:dyDescent="0.35">
      <c r="A44">
        <v>4</v>
      </c>
      <c r="B44" s="89" t="s">
        <v>433</v>
      </c>
      <c r="C44" t="s">
        <v>370</v>
      </c>
      <c r="D44">
        <v>15</v>
      </c>
      <c r="E44">
        <v>65</v>
      </c>
      <c r="F44" t="s">
        <v>72</v>
      </c>
      <c r="G44" t="s">
        <v>44</v>
      </c>
      <c r="H44" t="s">
        <v>46</v>
      </c>
      <c r="I44" s="6" t="s">
        <v>12</v>
      </c>
      <c r="J44" s="7">
        <v>1.2549999999999999</v>
      </c>
      <c r="K44" s="89"/>
      <c r="U44" s="90"/>
      <c r="V44" s="91">
        <f>MAX(K44:U48)</f>
        <v>348.95680282104024</v>
      </c>
      <c r="W44" s="91" t="s">
        <v>413</v>
      </c>
    </row>
    <row r="45" spans="1:23" x14ac:dyDescent="0.35">
      <c r="B45" s="89" t="s">
        <v>433</v>
      </c>
      <c r="C45" t="s">
        <v>370</v>
      </c>
      <c r="D45">
        <v>15</v>
      </c>
      <c r="E45">
        <v>65</v>
      </c>
      <c r="F45" t="s">
        <v>72</v>
      </c>
      <c r="G45" t="s">
        <v>115</v>
      </c>
      <c r="H45" t="s">
        <v>19</v>
      </c>
      <c r="I45" s="6" t="s">
        <v>12</v>
      </c>
      <c r="K45" s="89"/>
      <c r="L45" s="36"/>
      <c r="M45" s="36"/>
      <c r="N45" s="36"/>
      <c r="O45" s="36"/>
      <c r="P45" s="36"/>
      <c r="Q45" s="36"/>
      <c r="R45" s="36"/>
      <c r="S45" s="36"/>
      <c r="T45" s="36"/>
      <c r="U45" s="93"/>
      <c r="V45" s="94"/>
      <c r="W45" s="94"/>
    </row>
    <row r="46" spans="1:23" x14ac:dyDescent="0.35">
      <c r="B46" s="89" t="s">
        <v>433</v>
      </c>
      <c r="C46" t="s">
        <v>370</v>
      </c>
      <c r="D46">
        <v>15</v>
      </c>
      <c r="E46">
        <v>65</v>
      </c>
      <c r="F46" t="s">
        <v>72</v>
      </c>
      <c r="G46" t="s">
        <v>116</v>
      </c>
      <c r="H46" t="s">
        <v>19</v>
      </c>
      <c r="I46" s="6" t="s">
        <v>12</v>
      </c>
      <c r="K46" s="40">
        <v>260.06464883925946</v>
      </c>
      <c r="L46" s="36">
        <v>247.72259770790478</v>
      </c>
      <c r="M46" s="36">
        <v>227.29944166911548</v>
      </c>
      <c r="N46" s="36">
        <v>205.70085218924478</v>
      </c>
      <c r="O46" s="36">
        <v>179.98824566558918</v>
      </c>
      <c r="P46" s="36">
        <v>164.41375257126066</v>
      </c>
      <c r="Q46" s="36">
        <v>140.31736702909197</v>
      </c>
      <c r="R46" s="36">
        <v>104.46664707610931</v>
      </c>
      <c r="S46" s="36">
        <v>80.076403173670286</v>
      </c>
      <c r="T46" s="36"/>
      <c r="U46" s="93"/>
      <c r="V46" s="94"/>
      <c r="W46" s="94"/>
    </row>
    <row r="47" spans="1:23" x14ac:dyDescent="0.35">
      <c r="B47" s="89" t="s">
        <v>433</v>
      </c>
      <c r="C47" t="s">
        <v>370</v>
      </c>
      <c r="D47">
        <v>15</v>
      </c>
      <c r="E47">
        <v>65</v>
      </c>
      <c r="F47" t="s">
        <v>72</v>
      </c>
      <c r="G47" t="s">
        <v>117</v>
      </c>
      <c r="H47" t="s">
        <v>19</v>
      </c>
      <c r="I47" s="6" t="s">
        <v>12</v>
      </c>
      <c r="K47" s="39">
        <v>347.6344401998237</v>
      </c>
      <c r="L47" s="1">
        <v>348.95680282104024</v>
      </c>
      <c r="M47" s="1">
        <v>335.73317660887454</v>
      </c>
      <c r="N47" s="1">
        <v>321.33411695562739</v>
      </c>
      <c r="O47" s="1">
        <v>313.10608286805757</v>
      </c>
      <c r="P47" s="1">
        <v>289.00969732588891</v>
      </c>
      <c r="Q47" s="1">
        <v>278.28386717602115</v>
      </c>
      <c r="R47" s="1">
        <v>242.58007640317368</v>
      </c>
      <c r="S47" s="1">
        <v>207.17014399059653</v>
      </c>
      <c r="T47" s="1"/>
      <c r="U47" s="102"/>
      <c r="V47" s="91"/>
      <c r="W47" s="91"/>
    </row>
    <row r="48" spans="1:23" x14ac:dyDescent="0.35">
      <c r="B48" s="95" t="s">
        <v>433</v>
      </c>
      <c r="C48" s="96" t="s">
        <v>370</v>
      </c>
      <c r="D48" s="96">
        <v>15</v>
      </c>
      <c r="E48" s="96">
        <v>65</v>
      </c>
      <c r="F48" s="96" t="s">
        <v>72</v>
      </c>
      <c r="G48" s="96" t="s">
        <v>118</v>
      </c>
      <c r="H48" s="96" t="s">
        <v>19</v>
      </c>
      <c r="I48" s="97" t="s">
        <v>12</v>
      </c>
      <c r="J48" s="98"/>
      <c r="K48" s="103">
        <v>276.2268586541287</v>
      </c>
      <c r="L48" s="104">
        <v>266.97032030561269</v>
      </c>
      <c r="M48" s="104">
        <v>266.08874522480164</v>
      </c>
      <c r="N48" s="104">
        <v>240.08228034087568</v>
      </c>
      <c r="O48" s="104">
        <v>215.39817807816632</v>
      </c>
      <c r="P48" s="104">
        <v>186.8939171319424</v>
      </c>
      <c r="Q48" s="104">
        <v>162.50367322950339</v>
      </c>
      <c r="R48" s="104">
        <v>110.93153100205701</v>
      </c>
      <c r="S48" s="104">
        <v>70.819864825154269</v>
      </c>
      <c r="T48" s="104"/>
      <c r="U48" s="105"/>
      <c r="V48" s="106"/>
      <c r="W48" s="106"/>
    </row>
    <row r="49" spans="1:23" x14ac:dyDescent="0.35">
      <c r="A49">
        <v>4</v>
      </c>
      <c r="B49" s="89" t="s">
        <v>433</v>
      </c>
      <c r="C49" t="s">
        <v>388</v>
      </c>
      <c r="D49">
        <v>20</v>
      </c>
      <c r="E49">
        <v>65</v>
      </c>
      <c r="F49" t="s">
        <v>72</v>
      </c>
      <c r="G49" t="s">
        <v>44</v>
      </c>
      <c r="H49" t="s">
        <v>46</v>
      </c>
      <c r="I49" s="6" t="s">
        <v>12</v>
      </c>
      <c r="J49" s="7">
        <v>1.3460000000000001</v>
      </c>
      <c r="K49" s="89"/>
      <c r="U49" s="90"/>
      <c r="V49" s="91">
        <f>MAX(K49:U53)</f>
        <v>358.59926300981323</v>
      </c>
      <c r="W49" s="91" t="s">
        <v>413</v>
      </c>
    </row>
    <row r="50" spans="1:23" x14ac:dyDescent="0.35">
      <c r="B50" s="89" t="s">
        <v>433</v>
      </c>
      <c r="C50" t="s">
        <v>388</v>
      </c>
      <c r="D50">
        <v>20</v>
      </c>
      <c r="E50">
        <v>65</v>
      </c>
      <c r="F50" t="s">
        <v>72</v>
      </c>
      <c r="G50" t="s">
        <v>115</v>
      </c>
      <c r="H50" t="s">
        <v>19</v>
      </c>
      <c r="I50" s="6" t="s">
        <v>12</v>
      </c>
      <c r="K50" s="89"/>
      <c r="L50" s="36"/>
      <c r="M50" s="36"/>
      <c r="N50" s="36"/>
      <c r="O50" s="36"/>
      <c r="P50" s="36"/>
      <c r="Q50" s="36"/>
      <c r="R50" s="36"/>
      <c r="S50" s="36"/>
      <c r="T50" s="36"/>
      <c r="U50" s="93"/>
      <c r="V50" s="94"/>
      <c r="W50" s="94"/>
    </row>
    <row r="51" spans="1:23" x14ac:dyDescent="0.35">
      <c r="B51" s="89" t="s">
        <v>433</v>
      </c>
      <c r="C51" t="s">
        <v>388</v>
      </c>
      <c r="D51">
        <v>20</v>
      </c>
      <c r="E51">
        <v>65</v>
      </c>
      <c r="F51" t="s">
        <v>72</v>
      </c>
      <c r="G51" t="s">
        <v>116</v>
      </c>
      <c r="H51" t="s">
        <v>19</v>
      </c>
      <c r="I51" s="6" t="s">
        <v>12</v>
      </c>
      <c r="K51" s="40">
        <v>227.54634572065376</v>
      </c>
      <c r="L51" s="36">
        <v>200.92678580514607</v>
      </c>
      <c r="M51" s="36">
        <v>161.49957606509926</v>
      </c>
      <c r="N51" s="36">
        <v>125.4121059059292</v>
      </c>
      <c r="O51" s="36">
        <v>90.406239384724074</v>
      </c>
      <c r="P51" s="36">
        <v>57.557635525387937</v>
      </c>
      <c r="Q51" s="36">
        <v>26.917532765673613</v>
      </c>
      <c r="R51" s="36">
        <v>1</v>
      </c>
      <c r="S51" s="36"/>
      <c r="T51" s="36"/>
      <c r="U51" s="93"/>
      <c r="V51" s="94"/>
      <c r="W51" s="94"/>
    </row>
    <row r="52" spans="1:23" x14ac:dyDescent="0.35">
      <c r="B52" s="89" t="s">
        <v>433</v>
      </c>
      <c r="C52" t="s">
        <v>388</v>
      </c>
      <c r="D52">
        <v>20</v>
      </c>
      <c r="E52">
        <v>65</v>
      </c>
      <c r="F52" t="s">
        <v>72</v>
      </c>
      <c r="G52" t="s">
        <v>117</v>
      </c>
      <c r="H52" t="s">
        <v>19</v>
      </c>
      <c r="I52" s="6" t="s">
        <v>12</v>
      </c>
      <c r="K52" s="39">
        <v>342.45743731797131</v>
      </c>
      <c r="L52" s="1">
        <v>358.59926300981323</v>
      </c>
      <c r="M52" s="1">
        <v>356.13376210990646</v>
      </c>
      <c r="N52" s="1">
        <v>348.71554775090266</v>
      </c>
      <c r="O52" s="1">
        <v>338.46120140212616</v>
      </c>
      <c r="P52" s="1">
        <v>329.64750717985424</v>
      </c>
      <c r="Q52" s="1">
        <v>320.86435006089914</v>
      </c>
      <c r="R52" s="1">
        <v>302.3199004572952</v>
      </c>
      <c r="S52" s="1">
        <v>286.08537058160414</v>
      </c>
      <c r="T52" s="1">
        <v>268.27057091923621</v>
      </c>
      <c r="U52" s="102">
        <v>243.58787741816241</v>
      </c>
      <c r="V52" s="91"/>
      <c r="W52" s="91"/>
    </row>
    <row r="53" spans="1:23" x14ac:dyDescent="0.35">
      <c r="B53" s="95" t="s">
        <v>433</v>
      </c>
      <c r="C53" s="96" t="s">
        <v>388</v>
      </c>
      <c r="D53" s="96">
        <v>20</v>
      </c>
      <c r="E53" s="96">
        <v>65</v>
      </c>
      <c r="F53" s="96" t="s">
        <v>72</v>
      </c>
      <c r="G53" s="96" t="s">
        <v>118</v>
      </c>
      <c r="H53" s="96" t="s">
        <v>19</v>
      </c>
      <c r="I53" s="97" t="s">
        <v>12</v>
      </c>
      <c r="J53" s="98"/>
      <c r="K53" s="103">
        <v>277.04715874166561</v>
      </c>
      <c r="L53" s="104">
        <v>261.48449575791903</v>
      </c>
      <c r="M53" s="104">
        <v>240.76799776408922</v>
      </c>
      <c r="N53" s="104">
        <v>219.91016660794938</v>
      </c>
      <c r="O53" s="104">
        <v>198.26240202822822</v>
      </c>
      <c r="P53" s="104">
        <v>179.8903006268954</v>
      </c>
      <c r="Q53" s="104">
        <v>162.96507573862809</v>
      </c>
      <c r="R53" s="104">
        <v>131.85914277089759</v>
      </c>
      <c r="S53" s="104">
        <v>97.898409646123042</v>
      </c>
      <c r="T53" s="104">
        <v>64.892519470715726</v>
      </c>
      <c r="U53" s="105">
        <v>23.260479772161855</v>
      </c>
      <c r="V53" s="106"/>
      <c r="W53" s="106"/>
    </row>
    <row r="54" spans="1:23" x14ac:dyDescent="0.35">
      <c r="A54">
        <v>4</v>
      </c>
      <c r="B54" s="89" t="s">
        <v>433</v>
      </c>
      <c r="C54" t="s">
        <v>372</v>
      </c>
      <c r="D54">
        <v>25</v>
      </c>
      <c r="E54">
        <v>65</v>
      </c>
      <c r="F54" t="s">
        <v>72</v>
      </c>
      <c r="G54" t="s">
        <v>44</v>
      </c>
      <c r="H54" t="s">
        <v>46</v>
      </c>
      <c r="I54" s="6" t="s">
        <v>142</v>
      </c>
      <c r="J54" s="7">
        <v>1.38</v>
      </c>
      <c r="K54" s="89"/>
      <c r="U54" s="90"/>
      <c r="V54" s="91">
        <f>MAX(K54:U58)</f>
        <v>421.29951983833445</v>
      </c>
      <c r="W54" s="91" t="s">
        <v>413</v>
      </c>
    </row>
    <row r="55" spans="1:23" x14ac:dyDescent="0.35">
      <c r="B55" s="89" t="s">
        <v>433</v>
      </c>
      <c r="C55" t="s">
        <v>372</v>
      </c>
      <c r="D55">
        <v>25</v>
      </c>
      <c r="E55">
        <v>65</v>
      </c>
      <c r="F55" t="s">
        <v>72</v>
      </c>
      <c r="G55" t="s">
        <v>115</v>
      </c>
      <c r="H55" t="s">
        <v>19</v>
      </c>
      <c r="I55" s="6" t="s">
        <v>142</v>
      </c>
      <c r="K55" s="89"/>
      <c r="L55" s="36"/>
      <c r="M55" s="36"/>
      <c r="N55" s="36"/>
      <c r="O55" s="36"/>
      <c r="P55" s="36"/>
      <c r="Q55" s="36"/>
      <c r="R55" s="36"/>
      <c r="S55" s="36"/>
      <c r="T55" s="36"/>
      <c r="U55" s="93"/>
      <c r="V55" s="94"/>
      <c r="W55" s="94"/>
    </row>
    <row r="56" spans="1:23" x14ac:dyDescent="0.35">
      <c r="B56" s="89" t="s">
        <v>433</v>
      </c>
      <c r="C56" t="s">
        <v>372</v>
      </c>
      <c r="D56">
        <v>25</v>
      </c>
      <c r="E56">
        <v>65</v>
      </c>
      <c r="F56" t="s">
        <v>72</v>
      </c>
      <c r="G56" t="s">
        <v>116</v>
      </c>
      <c r="H56" t="s">
        <v>19</v>
      </c>
      <c r="I56" s="6" t="s">
        <v>142</v>
      </c>
      <c r="K56" s="40">
        <v>255.65677343520423</v>
      </c>
      <c r="L56" s="36">
        <v>241.25771378195711</v>
      </c>
      <c r="M56" s="36">
        <v>213.63502791654423</v>
      </c>
      <c r="N56" s="36">
        <v>182.48604172788717</v>
      </c>
      <c r="O56" s="36">
        <v>158.38965618571848</v>
      </c>
      <c r="P56" s="36">
        <v>118.27799000881575</v>
      </c>
      <c r="Q56" s="36">
        <v>88.010578900969733</v>
      </c>
      <c r="R56" s="36">
        <v>33.205994710549518</v>
      </c>
      <c r="S56" s="36">
        <v>1.3223626212165736</v>
      </c>
      <c r="T56" s="36"/>
      <c r="U56" s="93"/>
      <c r="V56" s="94"/>
      <c r="W56" s="94"/>
    </row>
    <row r="57" spans="1:23" x14ac:dyDescent="0.35">
      <c r="B57" s="89" t="s">
        <v>433</v>
      </c>
      <c r="C57" t="s">
        <v>372</v>
      </c>
      <c r="D57">
        <v>25</v>
      </c>
      <c r="E57">
        <v>65</v>
      </c>
      <c r="F57" t="s">
        <v>72</v>
      </c>
      <c r="G57" t="s">
        <v>117</v>
      </c>
      <c r="H57" t="s">
        <v>19</v>
      </c>
      <c r="I57" s="6" t="s">
        <v>142</v>
      </c>
      <c r="K57" s="39">
        <v>421.29951983833445</v>
      </c>
      <c r="L57" s="1">
        <v>413.61229045970884</v>
      </c>
      <c r="M57" s="1">
        <v>418.00858697517197</v>
      </c>
      <c r="N57" s="1">
        <v>417.7196591243021</v>
      </c>
      <c r="O57" s="1">
        <v>416.5442256832207</v>
      </c>
      <c r="P57" s="1">
        <v>406.69997061416399</v>
      </c>
      <c r="Q57" s="1">
        <v>402.2920952101087</v>
      </c>
      <c r="R57" s="1">
        <v>393.91713194240378</v>
      </c>
      <c r="S57" s="1">
        <v>382.01586835145457</v>
      </c>
      <c r="T57" s="1"/>
      <c r="U57" s="102"/>
      <c r="V57" s="91"/>
      <c r="W57" s="91"/>
    </row>
    <row r="58" spans="1:23" x14ac:dyDescent="0.35">
      <c r="B58" s="95" t="s">
        <v>433</v>
      </c>
      <c r="C58" s="96" t="s">
        <v>372</v>
      </c>
      <c r="D58" s="96">
        <v>25</v>
      </c>
      <c r="E58" s="96">
        <v>65</v>
      </c>
      <c r="F58" s="96" t="s">
        <v>72</v>
      </c>
      <c r="G58" s="96" t="s">
        <v>118</v>
      </c>
      <c r="H58" s="96" t="s">
        <v>19</v>
      </c>
      <c r="I58" s="97" t="s">
        <v>142</v>
      </c>
      <c r="J58" s="98"/>
      <c r="K58" s="103">
        <v>255.65677343520423</v>
      </c>
      <c r="L58" s="104">
        <v>235.3805465765501</v>
      </c>
      <c r="M58" s="104">
        <v>225.83014986776374</v>
      </c>
      <c r="N58" s="104">
        <v>201.88069350573025</v>
      </c>
      <c r="O58" s="104">
        <v>166.17690273288275</v>
      </c>
      <c r="P58" s="104">
        <v>144.8721716132824</v>
      </c>
      <c r="Q58" s="104">
        <v>123.27358213341169</v>
      </c>
      <c r="R58" s="104">
        <v>83.896561857184835</v>
      </c>
      <c r="S58" s="104">
        <v>43.491037320011756</v>
      </c>
      <c r="T58" s="104"/>
      <c r="U58" s="105"/>
      <c r="V58" s="106"/>
      <c r="W58" s="106"/>
    </row>
    <row r="59" spans="1:23" x14ac:dyDescent="0.35">
      <c r="A59">
        <v>4</v>
      </c>
      <c r="B59" s="89" t="s">
        <v>433</v>
      </c>
      <c r="C59" t="s">
        <v>372</v>
      </c>
      <c r="D59">
        <v>25</v>
      </c>
      <c r="E59">
        <v>60</v>
      </c>
      <c r="F59" t="s">
        <v>72</v>
      </c>
      <c r="G59" t="s">
        <v>44</v>
      </c>
      <c r="H59" t="s">
        <v>46</v>
      </c>
      <c r="I59" s="6" t="s">
        <v>12</v>
      </c>
      <c r="J59" s="7">
        <v>1.1519999999999999</v>
      </c>
      <c r="K59" s="89"/>
      <c r="U59" s="90"/>
      <c r="V59" s="91">
        <f>MAX(K59:U63)</f>
        <v>421.61755596129535</v>
      </c>
      <c r="W59" s="91" t="s">
        <v>413</v>
      </c>
    </row>
    <row r="60" spans="1:23" x14ac:dyDescent="0.35">
      <c r="B60" s="89" t="s">
        <v>433</v>
      </c>
      <c r="C60" t="s">
        <v>372</v>
      </c>
      <c r="D60">
        <v>25</v>
      </c>
      <c r="E60">
        <v>60</v>
      </c>
      <c r="F60" t="s">
        <v>72</v>
      </c>
      <c r="G60" t="s">
        <v>115</v>
      </c>
      <c r="H60" t="s">
        <v>19</v>
      </c>
      <c r="I60" s="6" t="s">
        <v>12</v>
      </c>
      <c r="K60" s="89"/>
      <c r="L60" s="36"/>
      <c r="M60" s="36"/>
      <c r="N60" s="36"/>
      <c r="O60" s="36"/>
      <c r="P60" s="36"/>
      <c r="Q60" s="36"/>
      <c r="R60" s="36"/>
      <c r="S60" s="36"/>
      <c r="T60" s="36"/>
      <c r="U60" s="93"/>
      <c r="V60" s="94"/>
      <c r="W60" s="94"/>
    </row>
    <row r="61" spans="1:23" x14ac:dyDescent="0.35">
      <c r="B61" s="89" t="s">
        <v>433</v>
      </c>
      <c r="C61" t="s">
        <v>372</v>
      </c>
      <c r="D61">
        <v>25</v>
      </c>
      <c r="E61">
        <v>60</v>
      </c>
      <c r="F61" t="s">
        <v>72</v>
      </c>
      <c r="G61" t="s">
        <v>116</v>
      </c>
      <c r="H61" t="s">
        <v>19</v>
      </c>
      <c r="I61" s="6" t="s">
        <v>12</v>
      </c>
      <c r="K61" s="40">
        <v>259.33000293858362</v>
      </c>
      <c r="L61" s="36">
        <v>250.22039377020275</v>
      </c>
      <c r="M61" s="36">
        <v>211.28416103438141</v>
      </c>
      <c r="N61" s="36">
        <v>185.86541287099618</v>
      </c>
      <c r="O61" s="36">
        <v>161.47516896855714</v>
      </c>
      <c r="P61" s="36">
        <v>126.79988245665589</v>
      </c>
      <c r="Q61" s="36">
        <v>90.361445783132524</v>
      </c>
      <c r="R61" s="36">
        <v>37.320011754334409</v>
      </c>
      <c r="S61" s="36">
        <v>1.1754334410813987</v>
      </c>
      <c r="T61" s="36"/>
      <c r="U61" s="93"/>
      <c r="V61" s="94"/>
      <c r="W61" s="94"/>
    </row>
    <row r="62" spans="1:23" x14ac:dyDescent="0.35">
      <c r="B62" s="89" t="s">
        <v>433</v>
      </c>
      <c r="C62" t="s">
        <v>372</v>
      </c>
      <c r="D62">
        <v>25</v>
      </c>
      <c r="E62">
        <v>60</v>
      </c>
      <c r="F62" t="s">
        <v>72</v>
      </c>
      <c r="G62" t="s">
        <v>117</v>
      </c>
      <c r="H62" t="s">
        <v>19</v>
      </c>
      <c r="I62" s="6" t="s">
        <v>12</v>
      </c>
      <c r="K62" s="39">
        <v>421.61755596129535</v>
      </c>
      <c r="L62" s="1">
        <v>420.9865376138701</v>
      </c>
      <c r="M62" s="1">
        <v>419.25288194296456</v>
      </c>
      <c r="N62" s="1">
        <v>413.60746502319876</v>
      </c>
      <c r="O62" s="1">
        <v>409.095881478558</v>
      </c>
      <c r="P62" s="1">
        <v>404.28317846740589</v>
      </c>
      <c r="Q62" s="1">
        <v>399.49596753381263</v>
      </c>
      <c r="R62" s="1">
        <v>392.21095432001778</v>
      </c>
      <c r="S62" s="1">
        <v>389.21539817807815</v>
      </c>
      <c r="T62" s="1"/>
      <c r="U62" s="102"/>
      <c r="V62" s="91"/>
      <c r="W62" s="91"/>
    </row>
    <row r="63" spans="1:23" x14ac:dyDescent="0.35">
      <c r="B63" s="95" t="s">
        <v>433</v>
      </c>
      <c r="C63" s="96" t="s">
        <v>372</v>
      </c>
      <c r="D63" s="96">
        <v>25</v>
      </c>
      <c r="E63" s="96">
        <v>60</v>
      </c>
      <c r="F63" s="96" t="s">
        <v>72</v>
      </c>
      <c r="G63" s="96" t="s">
        <v>118</v>
      </c>
      <c r="H63" s="96" t="s">
        <v>19</v>
      </c>
      <c r="I63" s="97" t="s">
        <v>12</v>
      </c>
      <c r="J63" s="98"/>
      <c r="K63" s="103">
        <v>255.50984425506905</v>
      </c>
      <c r="L63" s="104">
        <v>250.22039377020275</v>
      </c>
      <c r="M63" s="104">
        <v>217.60211578019394</v>
      </c>
      <c r="N63" s="104">
        <v>192.47722597707906</v>
      </c>
      <c r="O63" s="104">
        <v>168.38084043491037</v>
      </c>
      <c r="P63" s="104">
        <v>141.93358801057889</v>
      </c>
      <c r="Q63" s="104">
        <v>119.1595650896268</v>
      </c>
      <c r="R63" s="104">
        <v>73.317660887452249</v>
      </c>
      <c r="S63" s="104">
        <v>38.054657655010281</v>
      </c>
      <c r="T63" s="104"/>
      <c r="U63" s="105"/>
      <c r="V63" s="106"/>
      <c r="W63" s="106"/>
    </row>
    <row r="64" spans="1:23" x14ac:dyDescent="0.35">
      <c r="A64">
        <v>5</v>
      </c>
      <c r="B64" s="89" t="s">
        <v>432</v>
      </c>
      <c r="C64" t="s">
        <v>369</v>
      </c>
      <c r="D64">
        <v>12</v>
      </c>
      <c r="E64">
        <v>65</v>
      </c>
      <c r="F64" t="s">
        <v>72</v>
      </c>
      <c r="G64" t="s">
        <v>44</v>
      </c>
      <c r="H64" t="s">
        <v>46</v>
      </c>
      <c r="I64" s="6" t="s">
        <v>20</v>
      </c>
      <c r="J64" s="7">
        <v>1.8660000000000001</v>
      </c>
      <c r="K64" s="89"/>
      <c r="U64" s="90"/>
      <c r="V64" s="91">
        <f>MAX(K64:U68)</f>
        <v>422.12500193238208</v>
      </c>
      <c r="W64" s="91" t="s">
        <v>413</v>
      </c>
    </row>
    <row r="65" spans="1:23" x14ac:dyDescent="0.35">
      <c r="B65" s="89" t="s">
        <v>432</v>
      </c>
      <c r="C65" t="s">
        <v>369</v>
      </c>
      <c r="D65">
        <v>12</v>
      </c>
      <c r="E65">
        <v>65</v>
      </c>
      <c r="F65" t="s">
        <v>72</v>
      </c>
      <c r="G65" t="s">
        <v>115</v>
      </c>
      <c r="H65" t="s">
        <v>19</v>
      </c>
      <c r="I65" s="6" t="s">
        <v>20</v>
      </c>
      <c r="K65" s="89"/>
      <c r="L65" s="36"/>
      <c r="M65" s="36"/>
      <c r="N65" s="36"/>
      <c r="O65" s="36"/>
      <c r="P65" s="36"/>
      <c r="Q65" s="36"/>
      <c r="R65" s="36"/>
      <c r="S65" s="36"/>
      <c r="T65" s="36"/>
      <c r="U65" s="93"/>
      <c r="V65" s="94"/>
      <c r="W65" s="94"/>
    </row>
    <row r="66" spans="1:23" x14ac:dyDescent="0.35">
      <c r="B66" s="89" t="s">
        <v>432</v>
      </c>
      <c r="C66" t="s">
        <v>369</v>
      </c>
      <c r="D66">
        <v>12</v>
      </c>
      <c r="E66">
        <v>65</v>
      </c>
      <c r="F66" t="s">
        <v>72</v>
      </c>
      <c r="G66" t="s">
        <v>116</v>
      </c>
      <c r="H66" t="s">
        <v>19</v>
      </c>
      <c r="I66" s="6" t="s">
        <v>20</v>
      </c>
      <c r="K66" s="40">
        <v>338.24118744581892</v>
      </c>
      <c r="L66" s="36">
        <v>340.50606442521189</v>
      </c>
      <c r="M66" s="36">
        <v>317.68361494581598</v>
      </c>
      <c r="N66" s="36">
        <v>315.82852814321268</v>
      </c>
      <c r="O66" s="36">
        <v>308.4081809327995</v>
      </c>
      <c r="P66" s="36">
        <v>302.84292052498955</v>
      </c>
      <c r="Q66" s="36">
        <v>291.09403744183527</v>
      </c>
      <c r="R66" s="36"/>
      <c r="S66" s="36"/>
      <c r="T66" s="36"/>
      <c r="U66" s="93"/>
      <c r="V66" s="94"/>
      <c r="W66" s="94"/>
    </row>
    <row r="67" spans="1:23" x14ac:dyDescent="0.35">
      <c r="B67" s="89" t="s">
        <v>432</v>
      </c>
      <c r="C67" t="s">
        <v>369</v>
      </c>
      <c r="D67">
        <v>12</v>
      </c>
      <c r="E67">
        <v>65</v>
      </c>
      <c r="F67" t="s">
        <v>72</v>
      </c>
      <c r="G67" t="s">
        <v>117</v>
      </c>
      <c r="H67" t="s">
        <v>19</v>
      </c>
      <c r="I67" s="6" t="s">
        <v>20</v>
      </c>
      <c r="K67" s="39">
        <v>422.12500193238208</v>
      </c>
      <c r="L67" s="1">
        <v>398.42205192275532</v>
      </c>
      <c r="M67" s="1">
        <v>392.53770202568143</v>
      </c>
      <c r="N67" s="1">
        <v>368.23473031675604</v>
      </c>
      <c r="O67" s="1">
        <v>368.23473031675604</v>
      </c>
      <c r="P67" s="1">
        <v>354.63076043099852</v>
      </c>
      <c r="Q67" s="1">
        <v>339.48088487640484</v>
      </c>
      <c r="R67" s="1"/>
      <c r="S67" s="1"/>
      <c r="T67" s="1"/>
      <c r="U67" s="102"/>
      <c r="V67" s="91"/>
      <c r="W67" s="91"/>
    </row>
    <row r="68" spans="1:23" x14ac:dyDescent="0.35">
      <c r="B68" s="95" t="s">
        <v>432</v>
      </c>
      <c r="C68" s="96" t="s">
        <v>369</v>
      </c>
      <c r="D68" s="96">
        <v>12</v>
      </c>
      <c r="E68" s="96">
        <v>65</v>
      </c>
      <c r="F68" s="96" t="s">
        <v>72</v>
      </c>
      <c r="G68" s="96" t="s">
        <v>118</v>
      </c>
      <c r="H68" s="96" t="s">
        <v>19</v>
      </c>
      <c r="I68" s="97" t="s">
        <v>20</v>
      </c>
      <c r="J68" s="98"/>
      <c r="K68" s="103">
        <v>317.86521229848046</v>
      </c>
      <c r="L68" s="104">
        <v>313.04589793930774</v>
      </c>
      <c r="M68" s="104">
        <v>290.63026574118447</v>
      </c>
      <c r="N68" s="104">
        <v>270.22431091254811</v>
      </c>
      <c r="O68" s="104">
        <v>238.84242583517553</v>
      </c>
      <c r="P68" s="104">
        <v>219.05483327407362</v>
      </c>
      <c r="Q68" s="104">
        <v>189.21885386553711</v>
      </c>
      <c r="R68" s="104"/>
      <c r="S68" s="104"/>
      <c r="T68" s="104"/>
      <c r="U68" s="105"/>
      <c r="V68" s="106"/>
      <c r="W68" s="106"/>
    </row>
    <row r="69" spans="1:23" x14ac:dyDescent="0.35">
      <c r="A69">
        <v>5</v>
      </c>
      <c r="B69" s="89" t="s">
        <v>432</v>
      </c>
      <c r="C69" t="s">
        <v>388</v>
      </c>
      <c r="D69">
        <v>20</v>
      </c>
      <c r="E69">
        <v>65</v>
      </c>
      <c r="F69" t="s">
        <v>72</v>
      </c>
      <c r="G69" t="s">
        <v>44</v>
      </c>
      <c r="H69" t="s">
        <v>46</v>
      </c>
      <c r="I69" s="6" t="s">
        <v>20</v>
      </c>
      <c r="J69" s="7">
        <v>1.653</v>
      </c>
      <c r="K69" s="89"/>
      <c r="U69" s="90"/>
      <c r="V69" s="91">
        <f>MAX(K69:U73)</f>
        <v>359.0700238032029</v>
      </c>
      <c r="W69" s="91" t="s">
        <v>413</v>
      </c>
    </row>
    <row r="70" spans="1:23" x14ac:dyDescent="0.35">
      <c r="B70" s="89" t="s">
        <v>432</v>
      </c>
      <c r="C70" t="s">
        <v>388</v>
      </c>
      <c r="D70">
        <v>20</v>
      </c>
      <c r="E70">
        <v>65</v>
      </c>
      <c r="F70" t="s">
        <v>72</v>
      </c>
      <c r="G70" t="s">
        <v>115</v>
      </c>
      <c r="H70" t="s">
        <v>19</v>
      </c>
      <c r="I70" s="6" t="s">
        <v>20</v>
      </c>
      <c r="K70" s="89"/>
      <c r="L70" s="36"/>
      <c r="M70" s="36"/>
      <c r="N70" s="36"/>
      <c r="O70" s="36"/>
      <c r="P70" s="36"/>
      <c r="Q70" s="36"/>
      <c r="R70" s="36"/>
      <c r="S70" s="36"/>
      <c r="T70" s="36"/>
      <c r="U70" s="93"/>
      <c r="V70" s="94"/>
      <c r="W70" s="94"/>
    </row>
    <row r="71" spans="1:23" x14ac:dyDescent="0.35">
      <c r="B71" s="89" t="s">
        <v>432</v>
      </c>
      <c r="C71" t="s">
        <v>388</v>
      </c>
      <c r="D71">
        <v>20</v>
      </c>
      <c r="E71">
        <v>65</v>
      </c>
      <c r="F71" t="s">
        <v>72</v>
      </c>
      <c r="G71" t="s">
        <v>116</v>
      </c>
      <c r="H71" t="s">
        <v>19</v>
      </c>
      <c r="I71" s="6" t="s">
        <v>20</v>
      </c>
      <c r="K71" s="40">
        <v>321.2731791923394</v>
      </c>
      <c r="L71" s="36">
        <v>306.35121703697172</v>
      </c>
      <c r="M71" s="36">
        <v>272.82340738176089</v>
      </c>
      <c r="N71" s="36">
        <v>240.25636394691588</v>
      </c>
      <c r="O71" s="36">
        <v>208.74313282370542</v>
      </c>
      <c r="P71" s="36">
        <v>175.14564004667267</v>
      </c>
      <c r="Q71" s="36">
        <v>144.38656569070196</v>
      </c>
      <c r="R71" s="36">
        <v>86.023025160718987</v>
      </c>
      <c r="S71" s="36">
        <v>22.006682262380508</v>
      </c>
      <c r="T71" s="36">
        <v>1</v>
      </c>
      <c r="U71" s="93"/>
      <c r="V71" s="94"/>
      <c r="W71" s="94"/>
    </row>
    <row r="72" spans="1:23" x14ac:dyDescent="0.35">
      <c r="B72" s="89" t="s">
        <v>432</v>
      </c>
      <c r="C72" t="s">
        <v>388</v>
      </c>
      <c r="D72">
        <v>20</v>
      </c>
      <c r="E72">
        <v>65</v>
      </c>
      <c r="F72" t="s">
        <v>72</v>
      </c>
      <c r="G72" t="s">
        <v>117</v>
      </c>
      <c r="H72" t="s">
        <v>19</v>
      </c>
      <c r="I72" s="6" t="s">
        <v>20</v>
      </c>
      <c r="K72" s="39">
        <v>359.0700238032029</v>
      </c>
      <c r="L72" s="1">
        <v>358.67566732978781</v>
      </c>
      <c r="M72" s="1">
        <v>353.51338120941534</v>
      </c>
      <c r="N72" s="1">
        <v>340.74907474809601</v>
      </c>
      <c r="O72" s="1">
        <v>331.15142227928533</v>
      </c>
      <c r="P72" s="1">
        <v>321.16190270069723</v>
      </c>
      <c r="Q72" s="1">
        <v>314.49201319844872</v>
      </c>
      <c r="R72" s="1">
        <v>284.11146882790661</v>
      </c>
      <c r="S72" s="1">
        <v>245.12330747644003</v>
      </c>
      <c r="T72" s="1">
        <v>208.34561422314755</v>
      </c>
      <c r="U72" s="102">
        <v>168.70081230658826</v>
      </c>
      <c r="V72" s="91"/>
      <c r="W72" s="91"/>
    </row>
    <row r="73" spans="1:23" x14ac:dyDescent="0.35">
      <c r="B73" s="95" t="s">
        <v>432</v>
      </c>
      <c r="C73" s="96" t="s">
        <v>388</v>
      </c>
      <c r="D73" s="96">
        <v>20</v>
      </c>
      <c r="E73" s="96">
        <v>65</v>
      </c>
      <c r="F73" s="96" t="s">
        <v>72</v>
      </c>
      <c r="G73" s="96" t="s">
        <v>118</v>
      </c>
      <c r="H73" s="96" t="s">
        <v>19</v>
      </c>
      <c r="I73" s="97" t="s">
        <v>20</v>
      </c>
      <c r="J73" s="98"/>
      <c r="K73" s="103">
        <v>349.39810397011996</v>
      </c>
      <c r="L73" s="104">
        <v>340.8357781170497</v>
      </c>
      <c r="M73" s="104">
        <v>332.5273943225227</v>
      </c>
      <c r="N73" s="104">
        <v>317.08470447146561</v>
      </c>
      <c r="O73" s="104">
        <v>303.05064088758701</v>
      </c>
      <c r="P73" s="104">
        <v>289.25840243241601</v>
      </c>
      <c r="Q73" s="104">
        <v>277.59029660493633</v>
      </c>
      <c r="R73" s="104">
        <v>251.86174373119928</v>
      </c>
      <c r="S73" s="104">
        <v>229.12360569076753</v>
      </c>
      <c r="T73" s="104">
        <v>203.27297513768264</v>
      </c>
      <c r="U73" s="105">
        <v>179.6551016049921</v>
      </c>
      <c r="V73" s="106"/>
      <c r="W73" s="106"/>
    </row>
    <row r="74" spans="1:23" x14ac:dyDescent="0.35">
      <c r="A74">
        <v>6</v>
      </c>
      <c r="B74" s="89" t="s">
        <v>434</v>
      </c>
      <c r="C74" t="s">
        <v>369</v>
      </c>
      <c r="D74">
        <v>12</v>
      </c>
      <c r="E74">
        <v>65</v>
      </c>
      <c r="F74" t="s">
        <v>72</v>
      </c>
      <c r="G74" t="s">
        <v>44</v>
      </c>
      <c r="H74" t="s">
        <v>46</v>
      </c>
      <c r="I74" s="6" t="s">
        <v>20</v>
      </c>
      <c r="J74" s="7">
        <v>1.169</v>
      </c>
      <c r="K74" s="39"/>
      <c r="L74" s="1"/>
      <c r="M74" s="1"/>
      <c r="N74" s="1"/>
      <c r="O74" s="1"/>
      <c r="P74" s="1"/>
      <c r="Q74" s="1"/>
      <c r="R74" s="1"/>
      <c r="S74" s="1"/>
      <c r="T74" s="36"/>
      <c r="U74" s="93"/>
      <c r="V74" s="91">
        <f>MAX(K74:U78)</f>
        <v>301.340141794234</v>
      </c>
      <c r="W74" s="91" t="s">
        <v>413</v>
      </c>
    </row>
    <row r="75" spans="1:23" x14ac:dyDescent="0.35">
      <c r="B75" s="89" t="s">
        <v>434</v>
      </c>
      <c r="C75" t="s">
        <v>369</v>
      </c>
      <c r="D75">
        <v>12</v>
      </c>
      <c r="E75">
        <v>65</v>
      </c>
      <c r="F75" t="s">
        <v>72</v>
      </c>
      <c r="G75" t="s">
        <v>115</v>
      </c>
      <c r="H75" t="s">
        <v>19</v>
      </c>
      <c r="I75" s="6" t="s">
        <v>20</v>
      </c>
      <c r="J75" s="1"/>
      <c r="K75" s="39"/>
      <c r="L75" s="1"/>
      <c r="M75" s="1"/>
      <c r="N75" s="1"/>
      <c r="O75" s="1"/>
      <c r="P75" s="1"/>
      <c r="Q75" s="1"/>
      <c r="R75" s="1"/>
      <c r="S75" s="1"/>
      <c r="T75" s="36"/>
      <c r="U75" s="93"/>
      <c r="V75" s="94"/>
      <c r="W75" s="94"/>
    </row>
    <row r="76" spans="1:23" x14ac:dyDescent="0.35">
      <c r="B76" s="89" t="s">
        <v>434</v>
      </c>
      <c r="C76" t="s">
        <v>369</v>
      </c>
      <c r="D76">
        <v>12</v>
      </c>
      <c r="E76">
        <v>65</v>
      </c>
      <c r="F76" t="s">
        <v>72</v>
      </c>
      <c r="G76" t="s">
        <v>116</v>
      </c>
      <c r="H76" t="s">
        <v>19</v>
      </c>
      <c r="I76" s="6" t="s">
        <v>20</v>
      </c>
      <c r="J76" s="1"/>
      <c r="K76" s="39">
        <v>157.35434313328</v>
      </c>
      <c r="L76" s="1">
        <v>152.09458793105338</v>
      </c>
      <c r="M76" s="1">
        <v>133.90460119001963</v>
      </c>
      <c r="N76" s="1">
        <v>121.19352611797193</v>
      </c>
      <c r="O76" s="1">
        <v>119.22111791713695</v>
      </c>
      <c r="P76" s="1">
        <v>109.7973898464809</v>
      </c>
      <c r="Q76" s="1">
        <v>110.45485924675923</v>
      </c>
      <c r="R76" s="1">
        <v>77.690967466222517</v>
      </c>
      <c r="S76" s="1">
        <v>66.842722361630095</v>
      </c>
      <c r="T76" s="36"/>
      <c r="U76" s="93"/>
      <c r="V76" s="94"/>
      <c r="W76" s="94"/>
    </row>
    <row r="77" spans="1:23" x14ac:dyDescent="0.35">
      <c r="B77" s="89" t="s">
        <v>434</v>
      </c>
      <c r="C77" t="s">
        <v>369</v>
      </c>
      <c r="D77">
        <v>12</v>
      </c>
      <c r="E77">
        <v>65</v>
      </c>
      <c r="F77" t="s">
        <v>72</v>
      </c>
      <c r="G77" t="s">
        <v>117</v>
      </c>
      <c r="H77" t="s">
        <v>19</v>
      </c>
      <c r="I77" s="6" t="s">
        <v>20</v>
      </c>
      <c r="J77" s="1"/>
      <c r="K77" s="39">
        <v>291.91641372357793</v>
      </c>
      <c r="L77" s="1">
        <v>288.95780142232547</v>
      </c>
      <c r="M77" s="1">
        <v>285.99918912107302</v>
      </c>
      <c r="N77" s="1">
        <v>284.02678092023802</v>
      </c>
      <c r="O77" s="1">
        <v>274.38389638282251</v>
      </c>
      <c r="P77" s="1">
        <v>272.74022288212672</v>
      </c>
      <c r="Q77" s="1">
        <v>268.57625001369729</v>
      </c>
      <c r="R77" s="1">
        <v>274.49347461620226</v>
      </c>
      <c r="S77" s="1">
        <v>281.94479448602328</v>
      </c>
      <c r="T77" s="36"/>
      <c r="U77" s="93"/>
      <c r="V77" s="94"/>
      <c r="W77" s="94"/>
    </row>
    <row r="78" spans="1:23" x14ac:dyDescent="0.35">
      <c r="B78" s="95" t="s">
        <v>434</v>
      </c>
      <c r="C78" s="96" t="s">
        <v>369</v>
      </c>
      <c r="D78" s="96">
        <v>12</v>
      </c>
      <c r="E78" s="96">
        <v>65</v>
      </c>
      <c r="F78" s="96" t="s">
        <v>72</v>
      </c>
      <c r="G78" s="96" t="s">
        <v>118</v>
      </c>
      <c r="H78" s="96" t="s">
        <v>19</v>
      </c>
      <c r="I78" s="97" t="s">
        <v>20</v>
      </c>
      <c r="J78" s="107"/>
      <c r="K78" s="103">
        <v>301.340141794234</v>
      </c>
      <c r="L78" s="104">
        <v>294.43671309131156</v>
      </c>
      <c r="M78" s="104">
        <v>294.32713485793181</v>
      </c>
      <c r="N78" s="104">
        <v>284.02678092023802</v>
      </c>
      <c r="O78" s="104">
        <v>284.35551562037716</v>
      </c>
      <c r="P78" s="104">
        <v>283.47888975333939</v>
      </c>
      <c r="Q78" s="104">
        <v>285.12256325403524</v>
      </c>
      <c r="R78" s="104">
        <v>283.80762445347858</v>
      </c>
      <c r="S78" s="104">
        <v>281.94479448602328</v>
      </c>
      <c r="T78" s="104"/>
      <c r="U78" s="105"/>
      <c r="V78" s="106"/>
      <c r="W78" s="106"/>
    </row>
    <row r="79" spans="1:23" x14ac:dyDescent="0.35">
      <c r="A79">
        <v>6</v>
      </c>
      <c r="B79" s="89" t="s">
        <v>434</v>
      </c>
      <c r="C79" t="s">
        <v>370</v>
      </c>
      <c r="D79">
        <v>15</v>
      </c>
      <c r="E79">
        <v>65</v>
      </c>
      <c r="F79" t="s">
        <v>72</v>
      </c>
      <c r="G79" t="s">
        <v>44</v>
      </c>
      <c r="H79" t="s">
        <v>46</v>
      </c>
      <c r="I79" s="6" t="s">
        <v>20</v>
      </c>
      <c r="J79" s="7">
        <v>1.375</v>
      </c>
      <c r="K79" s="39"/>
      <c r="L79" s="1"/>
      <c r="M79" s="1"/>
      <c r="N79" s="1"/>
      <c r="O79" s="1"/>
      <c r="P79" s="1"/>
      <c r="Q79" s="1"/>
      <c r="R79" s="1"/>
      <c r="S79" s="1"/>
      <c r="T79" s="36"/>
      <c r="U79" s="93"/>
      <c r="V79" s="91">
        <f>MAX(K79:U83)</f>
        <v>329.29450198360422</v>
      </c>
      <c r="W79" s="91" t="s">
        <v>413</v>
      </c>
    </row>
    <row r="80" spans="1:23" x14ac:dyDescent="0.35">
      <c r="B80" s="89" t="s">
        <v>434</v>
      </c>
      <c r="C80" t="s">
        <v>370</v>
      </c>
      <c r="D80">
        <v>15</v>
      </c>
      <c r="E80">
        <v>65</v>
      </c>
      <c r="F80" t="s">
        <v>72</v>
      </c>
      <c r="G80" t="s">
        <v>115</v>
      </c>
      <c r="H80" t="s">
        <v>19</v>
      </c>
      <c r="I80" s="6" t="s">
        <v>20</v>
      </c>
      <c r="J80" s="1"/>
      <c r="K80" s="39"/>
      <c r="L80" s="1"/>
      <c r="M80" s="1"/>
      <c r="N80" s="1"/>
      <c r="O80" s="1"/>
      <c r="P80" s="1"/>
      <c r="Q80" s="1"/>
      <c r="R80" s="1"/>
      <c r="S80" s="1"/>
      <c r="T80" s="36"/>
      <c r="U80" s="93"/>
      <c r="V80" s="94"/>
      <c r="W80" s="94"/>
    </row>
    <row r="81" spans="1:23" x14ac:dyDescent="0.35">
      <c r="B81" s="89" t="s">
        <v>434</v>
      </c>
      <c r="C81" t="s">
        <v>370</v>
      </c>
      <c r="D81">
        <v>15</v>
      </c>
      <c r="E81">
        <v>65</v>
      </c>
      <c r="F81" t="s">
        <v>72</v>
      </c>
      <c r="G81" t="s">
        <v>116</v>
      </c>
      <c r="H81" t="s">
        <v>19</v>
      </c>
      <c r="I81" s="6" t="s">
        <v>20</v>
      </c>
      <c r="J81" s="1"/>
      <c r="K81" s="39">
        <v>199.85136034930963</v>
      </c>
      <c r="L81" s="1">
        <v>199.0563810091038</v>
      </c>
      <c r="M81" s="1">
        <v>193.08391677851304</v>
      </c>
      <c r="N81" s="1">
        <v>190.83479999890901</v>
      </c>
      <c r="O81" s="1">
        <v>192.4395632788345</v>
      </c>
      <c r="P81" s="1">
        <v>189.981567183989</v>
      </c>
      <c r="Q81" s="1">
        <v>189.87630894401732</v>
      </c>
      <c r="R81" s="1">
        <v>175.47481769102441</v>
      </c>
      <c r="S81" s="1">
        <v>149.16337018814585</v>
      </c>
      <c r="T81" s="36"/>
      <c r="U81" s="93"/>
      <c r="V81" s="94"/>
      <c r="W81" s="94"/>
    </row>
    <row r="82" spans="1:23" x14ac:dyDescent="0.35">
      <c r="B82" s="89" t="s">
        <v>434</v>
      </c>
      <c r="C82" t="s">
        <v>370</v>
      </c>
      <c r="D82">
        <v>15</v>
      </c>
      <c r="E82">
        <v>65</v>
      </c>
      <c r="F82" t="s">
        <v>72</v>
      </c>
      <c r="G82" t="s">
        <v>117</v>
      </c>
      <c r="H82" t="s">
        <v>19</v>
      </c>
      <c r="I82" s="6" t="s">
        <v>20</v>
      </c>
      <c r="J82" s="1"/>
      <c r="K82" s="39">
        <v>329.29450198360422</v>
      </c>
      <c r="L82" s="1">
        <v>308.32027526052224</v>
      </c>
      <c r="M82" s="1">
        <v>320.5054232982913</v>
      </c>
      <c r="N82" s="1">
        <v>322.18177664632407</v>
      </c>
      <c r="O82" s="1">
        <v>329.27653056306639</v>
      </c>
      <c r="P82" s="1">
        <v>329.0991510262366</v>
      </c>
      <c r="Q82" s="1">
        <v>322.42805135341763</v>
      </c>
      <c r="R82" s="1">
        <v>325.14410856144116</v>
      </c>
      <c r="S82" s="1">
        <v>320.86304501473825</v>
      </c>
      <c r="T82" s="36"/>
      <c r="U82" s="93"/>
      <c r="V82" s="94"/>
      <c r="W82" s="94"/>
    </row>
    <row r="83" spans="1:23" x14ac:dyDescent="0.35">
      <c r="B83" s="95" t="s">
        <v>434</v>
      </c>
      <c r="C83" s="96" t="s">
        <v>370</v>
      </c>
      <c r="D83" s="96">
        <v>15</v>
      </c>
      <c r="E83" s="96">
        <v>65</v>
      </c>
      <c r="F83" s="96" t="s">
        <v>72</v>
      </c>
      <c r="G83" s="96" t="s">
        <v>118</v>
      </c>
      <c r="H83" s="96" t="s">
        <v>19</v>
      </c>
      <c r="I83" s="97" t="s">
        <v>20</v>
      </c>
      <c r="J83" s="107"/>
      <c r="K83" s="103">
        <v>296.86711457356728</v>
      </c>
      <c r="L83" s="104">
        <v>296.21032892185582</v>
      </c>
      <c r="M83" s="104">
        <v>284.71472903443652</v>
      </c>
      <c r="N83" s="104">
        <v>287.69693082902859</v>
      </c>
      <c r="O83" s="104">
        <v>290.56860145300737</v>
      </c>
      <c r="P83" s="104">
        <v>295.91529833250763</v>
      </c>
      <c r="Q83" s="104">
        <v>297.69635423255892</v>
      </c>
      <c r="R83" s="104">
        <v>315.03600155953109</v>
      </c>
      <c r="S83" s="104">
        <v>290.25066969531093</v>
      </c>
      <c r="T83" s="104"/>
      <c r="U83" s="105"/>
      <c r="V83" s="106"/>
      <c r="W83" s="106"/>
    </row>
    <row r="84" spans="1:23" x14ac:dyDescent="0.35">
      <c r="A84">
        <v>6</v>
      </c>
      <c r="B84" s="89" t="s">
        <v>434</v>
      </c>
      <c r="C84" t="s">
        <v>388</v>
      </c>
      <c r="D84">
        <v>20</v>
      </c>
      <c r="E84">
        <v>65</v>
      </c>
      <c r="F84" t="s">
        <v>72</v>
      </c>
      <c r="G84" t="s">
        <v>44</v>
      </c>
      <c r="H84" t="s">
        <v>46</v>
      </c>
      <c r="I84" s="6" t="s">
        <v>20</v>
      </c>
      <c r="J84" s="7">
        <v>1.4970000000000001</v>
      </c>
      <c r="K84" s="39"/>
      <c r="L84" s="1"/>
      <c r="M84" s="1"/>
      <c r="N84" s="1"/>
      <c r="O84" s="1"/>
      <c r="P84" s="1"/>
      <c r="Q84" s="1"/>
      <c r="R84" s="1"/>
      <c r="S84" s="1"/>
      <c r="T84" s="36"/>
      <c r="U84" s="93"/>
      <c r="V84" s="91">
        <f>MAX(K84:U88)</f>
        <v>405.64131814540565</v>
      </c>
      <c r="W84" s="91" t="s">
        <v>413</v>
      </c>
    </row>
    <row r="85" spans="1:23" x14ac:dyDescent="0.35">
      <c r="B85" s="89" t="s">
        <v>434</v>
      </c>
      <c r="C85" t="s">
        <v>388</v>
      </c>
      <c r="D85">
        <v>20</v>
      </c>
      <c r="E85">
        <v>65</v>
      </c>
      <c r="F85" t="s">
        <v>72</v>
      </c>
      <c r="G85" t="s">
        <v>115</v>
      </c>
      <c r="H85" t="s">
        <v>19</v>
      </c>
      <c r="I85" s="6" t="s">
        <v>20</v>
      </c>
      <c r="J85" s="1"/>
      <c r="K85" s="39"/>
      <c r="L85" s="1"/>
      <c r="M85" s="1"/>
      <c r="N85" s="1"/>
      <c r="O85" s="1"/>
      <c r="P85" s="1"/>
      <c r="Q85" s="1"/>
      <c r="R85" s="1"/>
      <c r="S85" s="1"/>
      <c r="T85" s="36"/>
      <c r="U85" s="93"/>
      <c r="V85" s="94"/>
      <c r="W85" s="94"/>
    </row>
    <row r="86" spans="1:23" x14ac:dyDescent="0.35">
      <c r="B86" s="89" t="s">
        <v>434</v>
      </c>
      <c r="C86" t="s">
        <v>388</v>
      </c>
      <c r="D86">
        <v>20</v>
      </c>
      <c r="E86">
        <v>65</v>
      </c>
      <c r="F86" t="s">
        <v>72</v>
      </c>
      <c r="G86" t="s">
        <v>116</v>
      </c>
      <c r="H86" t="s">
        <v>19</v>
      </c>
      <c r="I86" s="6" t="s">
        <v>20</v>
      </c>
      <c r="J86" s="1"/>
      <c r="K86" s="39">
        <v>167.86060781721486</v>
      </c>
      <c r="L86" s="1">
        <v>164.46718273339883</v>
      </c>
      <c r="M86" s="1">
        <v>159.96314799720494</v>
      </c>
      <c r="N86" s="1">
        <v>159.24421188559521</v>
      </c>
      <c r="O86" s="1">
        <v>154.9217063522502</v>
      </c>
      <c r="P86" s="1">
        <v>155.87685119181572</v>
      </c>
      <c r="Q86" s="1">
        <v>150.86316029514296</v>
      </c>
      <c r="R86" s="1">
        <v>112.93239637707634</v>
      </c>
      <c r="S86" s="1">
        <v>58.842063154425226</v>
      </c>
      <c r="T86" s="36">
        <v>45.809904094235627</v>
      </c>
      <c r="U86" s="93"/>
      <c r="V86" s="94"/>
      <c r="W86" s="94"/>
    </row>
    <row r="87" spans="1:23" x14ac:dyDescent="0.35">
      <c r="B87" s="89" t="s">
        <v>434</v>
      </c>
      <c r="C87" t="s">
        <v>388</v>
      </c>
      <c r="D87">
        <v>20</v>
      </c>
      <c r="E87">
        <v>65</v>
      </c>
      <c r="F87" t="s">
        <v>72</v>
      </c>
      <c r="G87" t="s">
        <v>117</v>
      </c>
      <c r="H87" t="s">
        <v>19</v>
      </c>
      <c r="I87" s="6" t="s">
        <v>20</v>
      </c>
      <c r="J87" s="1"/>
      <c r="K87" s="39">
        <v>359.36315268871573</v>
      </c>
      <c r="L87" s="1">
        <v>360.91782728278855</v>
      </c>
      <c r="M87" s="1">
        <v>361.83528194825891</v>
      </c>
      <c r="N87" s="1">
        <v>366.49018204161541</v>
      </c>
      <c r="O87" s="1">
        <v>376.79330056776604</v>
      </c>
      <c r="P87" s="1">
        <v>381.31344582847078</v>
      </c>
      <c r="Q87" s="1">
        <v>380.08704496393386</v>
      </c>
      <c r="R87" s="1">
        <v>405.64131814540565</v>
      </c>
      <c r="S87" s="1">
        <v>403.76276642709064</v>
      </c>
      <c r="T87" s="36">
        <v>395.66171344954813</v>
      </c>
      <c r="U87" s="93"/>
      <c r="V87" s="94"/>
      <c r="W87" s="94"/>
    </row>
    <row r="88" spans="1:23" x14ac:dyDescent="0.35">
      <c r="B88" s="95" t="s">
        <v>434</v>
      </c>
      <c r="C88" s="96" t="s">
        <v>388</v>
      </c>
      <c r="D88" s="96">
        <v>20</v>
      </c>
      <c r="E88" s="96">
        <v>65</v>
      </c>
      <c r="F88" s="96" t="s">
        <v>72</v>
      </c>
      <c r="G88" s="96" t="s">
        <v>118</v>
      </c>
      <c r="H88" s="96" t="s">
        <v>19</v>
      </c>
      <c r="I88" s="97" t="s">
        <v>20</v>
      </c>
      <c r="J88" s="107"/>
      <c r="K88" s="103">
        <v>311.47068575437248</v>
      </c>
      <c r="L88" s="104">
        <v>302.55254841189429</v>
      </c>
      <c r="M88" s="104">
        <v>290.66780498446843</v>
      </c>
      <c r="N88" s="104">
        <v>301.21490952751429</v>
      </c>
      <c r="O88" s="104">
        <v>297.00166438233867</v>
      </c>
      <c r="P88" s="104">
        <v>293.75844952734286</v>
      </c>
      <c r="Q88" s="104">
        <v>303.52211536919128</v>
      </c>
      <c r="R88" s="104">
        <v>325.1169869999157</v>
      </c>
      <c r="S88" s="104">
        <v>326.04736669444264</v>
      </c>
      <c r="T88" s="104">
        <v>327.54071089809287</v>
      </c>
      <c r="U88" s="105"/>
      <c r="V88" s="106"/>
      <c r="W88" s="106"/>
    </row>
    <row r="89" spans="1:23" x14ac:dyDescent="0.35">
      <c r="A89">
        <v>6</v>
      </c>
      <c r="B89" s="89" t="s">
        <v>434</v>
      </c>
      <c r="C89" t="s">
        <v>372</v>
      </c>
      <c r="D89">
        <v>25</v>
      </c>
      <c r="E89">
        <v>65</v>
      </c>
      <c r="F89" t="s">
        <v>72</v>
      </c>
      <c r="G89" t="s">
        <v>44</v>
      </c>
      <c r="H89" t="s">
        <v>46</v>
      </c>
      <c r="I89" s="6" t="s">
        <v>20</v>
      </c>
      <c r="J89" s="7">
        <v>1.5569999999999999</v>
      </c>
      <c r="K89" s="39"/>
      <c r="L89" s="1"/>
      <c r="M89" s="1"/>
      <c r="N89" s="1"/>
      <c r="O89" s="1"/>
      <c r="P89" s="1"/>
      <c r="Q89" s="1"/>
      <c r="R89" s="1"/>
      <c r="S89" s="1"/>
      <c r="T89" s="36"/>
      <c r="U89" s="93"/>
      <c r="V89" s="91">
        <f>MAX(K89:U93)</f>
        <v>420.53201535969725</v>
      </c>
      <c r="W89" s="91" t="s">
        <v>413</v>
      </c>
    </row>
    <row r="90" spans="1:23" x14ac:dyDescent="0.35">
      <c r="B90" s="89" t="s">
        <v>434</v>
      </c>
      <c r="C90" t="s">
        <v>372</v>
      </c>
      <c r="D90">
        <v>25</v>
      </c>
      <c r="E90">
        <v>65</v>
      </c>
      <c r="F90" t="s">
        <v>72</v>
      </c>
      <c r="G90" t="s">
        <v>115</v>
      </c>
      <c r="H90" t="s">
        <v>19</v>
      </c>
      <c r="I90" s="6" t="s">
        <v>20</v>
      </c>
      <c r="J90" s="1"/>
      <c r="K90" s="39"/>
      <c r="L90" s="1"/>
      <c r="M90" s="1"/>
      <c r="N90" s="1"/>
      <c r="O90" s="1"/>
      <c r="P90" s="1"/>
      <c r="Q90" s="1"/>
      <c r="R90" s="1"/>
      <c r="S90" s="1"/>
      <c r="T90" s="36"/>
      <c r="U90" s="93"/>
      <c r="V90" s="94"/>
      <c r="W90" s="94"/>
    </row>
    <row r="91" spans="1:23" x14ac:dyDescent="0.35">
      <c r="B91" s="89" t="s">
        <v>434</v>
      </c>
      <c r="C91" t="s">
        <v>372</v>
      </c>
      <c r="D91">
        <v>25</v>
      </c>
      <c r="E91">
        <v>65</v>
      </c>
      <c r="F91" t="s">
        <v>72</v>
      </c>
      <c r="G91" t="s">
        <v>116</v>
      </c>
      <c r="H91" t="s">
        <v>19</v>
      </c>
      <c r="I91" s="6" t="s">
        <v>20</v>
      </c>
      <c r="J91" s="1"/>
      <c r="K91" s="39">
        <v>160.49711444789972</v>
      </c>
      <c r="L91" s="1">
        <v>160.7009741456354</v>
      </c>
      <c r="M91" s="1">
        <v>162.15553725016758</v>
      </c>
      <c r="N91" s="1">
        <v>165.76804574843601</v>
      </c>
      <c r="O91" s="1">
        <v>168.19301808648555</v>
      </c>
      <c r="P91" s="1">
        <v>165.72096354074344</v>
      </c>
      <c r="Q91" s="1">
        <v>163.42810806918456</v>
      </c>
      <c r="R91" s="1">
        <v>136.27149103102158</v>
      </c>
      <c r="S91" s="1">
        <v>84.501833938966286</v>
      </c>
      <c r="T91" s="36"/>
      <c r="U91" s="93"/>
      <c r="V91" s="94"/>
      <c r="W91" s="94"/>
    </row>
    <row r="92" spans="1:23" x14ac:dyDescent="0.35">
      <c r="B92" s="89" t="s">
        <v>434</v>
      </c>
      <c r="C92" t="s">
        <v>372</v>
      </c>
      <c r="D92">
        <v>25</v>
      </c>
      <c r="E92">
        <v>65</v>
      </c>
      <c r="F92" t="s">
        <v>72</v>
      </c>
      <c r="G92" t="s">
        <v>117</v>
      </c>
      <c r="H92" t="s">
        <v>19</v>
      </c>
      <c r="I92" s="6" t="s">
        <v>20</v>
      </c>
      <c r="J92" s="1"/>
      <c r="K92" s="39">
        <v>403.29770712527483</v>
      </c>
      <c r="L92" s="1">
        <v>415.89034127926311</v>
      </c>
      <c r="M92" s="1">
        <v>416.91693619711339</v>
      </c>
      <c r="N92" s="1">
        <v>418.79157124228846</v>
      </c>
      <c r="O92" s="1">
        <v>419.1367426774346</v>
      </c>
      <c r="P92" s="1">
        <v>420.53201535969725</v>
      </c>
      <c r="Q92" s="1">
        <v>419.44883258262996</v>
      </c>
      <c r="R92" s="1">
        <v>420.23071080206984</v>
      </c>
      <c r="S92" s="1">
        <v>415.2692756169738</v>
      </c>
      <c r="T92" s="36"/>
      <c r="U92" s="93"/>
      <c r="V92" s="94"/>
      <c r="W92" s="94"/>
    </row>
    <row r="93" spans="1:23" x14ac:dyDescent="0.35">
      <c r="B93" s="95" t="s">
        <v>434</v>
      </c>
      <c r="C93" s="96" t="s">
        <v>372</v>
      </c>
      <c r="D93" s="96">
        <v>25</v>
      </c>
      <c r="E93" s="96">
        <v>65</v>
      </c>
      <c r="F93" s="96" t="s">
        <v>72</v>
      </c>
      <c r="G93" s="96" t="s">
        <v>118</v>
      </c>
      <c r="H93" s="96" t="s">
        <v>19</v>
      </c>
      <c r="I93" s="97" t="s">
        <v>20</v>
      </c>
      <c r="J93" s="107"/>
      <c r="K93" s="103">
        <v>319.5454016076194</v>
      </c>
      <c r="L93" s="104">
        <v>315.00050107674645</v>
      </c>
      <c r="M93" s="104">
        <v>316.76978703227155</v>
      </c>
      <c r="N93" s="104">
        <v>329.75714271046331</v>
      </c>
      <c r="O93" s="104">
        <v>347.96257882654942</v>
      </c>
      <c r="P93" s="104">
        <v>348.7612180716423</v>
      </c>
      <c r="Q93" s="104">
        <v>356.30599757019104</v>
      </c>
      <c r="R93" s="104">
        <v>377.70736506614611</v>
      </c>
      <c r="S93" s="104">
        <v>342.97543411280429</v>
      </c>
      <c r="T93" s="104"/>
      <c r="U93" s="105"/>
      <c r="V93" s="106"/>
      <c r="W93" s="106"/>
    </row>
    <row r="94" spans="1:23" x14ac:dyDescent="0.35">
      <c r="A94">
        <v>7</v>
      </c>
      <c r="B94" s="89" t="s">
        <v>435</v>
      </c>
      <c r="C94" t="s">
        <v>369</v>
      </c>
      <c r="D94">
        <v>12</v>
      </c>
      <c r="E94">
        <v>65</v>
      </c>
      <c r="F94" t="s">
        <v>72</v>
      </c>
      <c r="G94" t="s">
        <v>44</v>
      </c>
      <c r="H94" t="s">
        <v>46</v>
      </c>
      <c r="I94" s="6" t="s">
        <v>20</v>
      </c>
      <c r="J94" s="7">
        <v>1.304</v>
      </c>
      <c r="K94" s="89"/>
      <c r="U94" s="90"/>
      <c r="V94" s="91">
        <f>MAX(K94:U98)</f>
        <v>349.42349524084949</v>
      </c>
      <c r="W94" s="91" t="s">
        <v>413</v>
      </c>
    </row>
    <row r="95" spans="1:23" x14ac:dyDescent="0.35">
      <c r="B95" s="89" t="s">
        <v>435</v>
      </c>
      <c r="C95" t="s">
        <v>369</v>
      </c>
      <c r="D95">
        <v>12</v>
      </c>
      <c r="E95">
        <v>65</v>
      </c>
      <c r="F95" t="s">
        <v>72</v>
      </c>
      <c r="G95" t="s">
        <v>115</v>
      </c>
      <c r="H95" t="s">
        <v>19</v>
      </c>
      <c r="I95" s="6" t="s">
        <v>20</v>
      </c>
      <c r="K95" s="89"/>
      <c r="L95" s="36"/>
      <c r="M95" s="36"/>
      <c r="N95" s="36"/>
      <c r="O95" s="36"/>
      <c r="P95" s="36"/>
      <c r="Q95" s="36"/>
      <c r="R95" s="36"/>
      <c r="S95" s="36"/>
      <c r="T95" s="36"/>
      <c r="U95" s="93"/>
      <c r="V95" s="94"/>
      <c r="W95" s="94"/>
    </row>
    <row r="96" spans="1:23" x14ac:dyDescent="0.35">
      <c r="B96" s="89" t="s">
        <v>435</v>
      </c>
      <c r="C96" t="s">
        <v>369</v>
      </c>
      <c r="D96">
        <v>12</v>
      </c>
      <c r="E96">
        <v>65</v>
      </c>
      <c r="F96" t="s">
        <v>72</v>
      </c>
      <c r="G96" t="s">
        <v>116</v>
      </c>
      <c r="H96" t="s">
        <v>19</v>
      </c>
      <c r="I96" s="6" t="s">
        <v>20</v>
      </c>
      <c r="K96" s="40">
        <v>349</v>
      </c>
      <c r="L96" s="36">
        <v>343.13663854346106</v>
      </c>
      <c r="M96" s="36">
        <v>332.19750789000517</v>
      </c>
      <c r="N96" s="36">
        <v>316.60610328048182</v>
      </c>
      <c r="O96" s="36">
        <v>307.42729250229468</v>
      </c>
      <c r="P96" s="36">
        <v>297.99700745621203</v>
      </c>
      <c r="Q96" s="36">
        <v>281.90265431089762</v>
      </c>
      <c r="R96" s="36">
        <v>254.86917051212734</v>
      </c>
      <c r="S96" s="36">
        <v>230.47616652626019</v>
      </c>
      <c r="T96" s="36">
        <v>230.0989551244169</v>
      </c>
      <c r="U96" s="93">
        <v>203.94563126328097</v>
      </c>
      <c r="V96" s="94"/>
      <c r="W96" s="94"/>
    </row>
    <row r="97" spans="1:23" x14ac:dyDescent="0.35">
      <c r="B97" s="89" t="s">
        <v>435</v>
      </c>
      <c r="C97" t="s">
        <v>369</v>
      </c>
      <c r="D97">
        <v>12</v>
      </c>
      <c r="E97">
        <v>65</v>
      </c>
      <c r="F97" t="s">
        <v>72</v>
      </c>
      <c r="G97" t="s">
        <v>117</v>
      </c>
      <c r="H97" t="s">
        <v>19</v>
      </c>
      <c r="I97" s="6" t="s">
        <v>20</v>
      </c>
      <c r="K97" s="39">
        <v>349</v>
      </c>
      <c r="L97" s="1">
        <v>349.42349524084949</v>
      </c>
      <c r="M97" s="1">
        <v>342.75942714161772</v>
      </c>
      <c r="N97" s="1">
        <v>348.29186103531958</v>
      </c>
      <c r="O97" s="1">
        <v>341.75353007003559</v>
      </c>
      <c r="P97" s="1">
        <v>345.39990695452087</v>
      </c>
      <c r="Q97" s="1">
        <v>337.47846751581142</v>
      </c>
      <c r="R97" s="1">
        <v>300.00880159937634</v>
      </c>
      <c r="S97" s="1">
        <v>258.89275879845593</v>
      </c>
      <c r="T97" s="1">
        <v>204.57431693301982</v>
      </c>
      <c r="U97" s="102">
        <v>157.171417434711</v>
      </c>
      <c r="V97" s="91"/>
      <c r="W97" s="91"/>
    </row>
    <row r="98" spans="1:23" x14ac:dyDescent="0.35">
      <c r="B98" s="95" t="s">
        <v>435</v>
      </c>
      <c r="C98" s="96" t="s">
        <v>369</v>
      </c>
      <c r="D98" s="96">
        <v>12</v>
      </c>
      <c r="E98" s="96">
        <v>65</v>
      </c>
      <c r="F98" s="96" t="s">
        <v>72</v>
      </c>
      <c r="G98" s="96" t="s">
        <v>118</v>
      </c>
      <c r="H98" s="96" t="s">
        <v>19</v>
      </c>
      <c r="I98" s="97" t="s">
        <v>20</v>
      </c>
      <c r="J98" s="98"/>
      <c r="K98" s="103">
        <v>316</v>
      </c>
      <c r="L98" s="104">
        <v>313.96562346757867</v>
      </c>
      <c r="M98" s="104">
        <v>298.87716739384643</v>
      </c>
      <c r="N98" s="104">
        <v>280.39380870352443</v>
      </c>
      <c r="O98" s="104">
        <v>275.99300901535253</v>
      </c>
      <c r="P98" s="104">
        <v>263.29355848662783</v>
      </c>
      <c r="Q98" s="104">
        <v>243.17561705498485</v>
      </c>
      <c r="R98" s="104">
        <v>220.16572154254317</v>
      </c>
      <c r="S98" s="104">
        <v>193.13223774377286</v>
      </c>
      <c r="T98" s="104">
        <v>154.53093762180785</v>
      </c>
      <c r="U98" s="105">
        <v>129.50924796620185</v>
      </c>
      <c r="V98" s="106"/>
      <c r="W98" s="106"/>
    </row>
    <row r="99" spans="1:23" x14ac:dyDescent="0.35">
      <c r="A99">
        <v>7</v>
      </c>
      <c r="B99" s="89" t="s">
        <v>435</v>
      </c>
      <c r="C99" t="s">
        <v>370</v>
      </c>
      <c r="D99">
        <v>15</v>
      </c>
      <c r="E99">
        <v>65</v>
      </c>
      <c r="F99" t="s">
        <v>72</v>
      </c>
      <c r="G99" t="s">
        <v>44</v>
      </c>
      <c r="H99" t="s">
        <v>46</v>
      </c>
      <c r="I99" s="6" t="s">
        <v>12</v>
      </c>
      <c r="J99" s="7">
        <v>1.387</v>
      </c>
      <c r="K99" s="89"/>
      <c r="U99" s="90"/>
      <c r="V99" s="91">
        <f>MAX(K99:U103)</f>
        <v>361.18680068470752</v>
      </c>
      <c r="W99" s="91" t="s">
        <v>413</v>
      </c>
    </row>
    <row r="100" spans="1:23" x14ac:dyDescent="0.35">
      <c r="B100" s="89" t="s">
        <v>435</v>
      </c>
      <c r="C100" t="s">
        <v>370</v>
      </c>
      <c r="D100">
        <v>15</v>
      </c>
      <c r="E100">
        <v>65</v>
      </c>
      <c r="F100" t="s">
        <v>72</v>
      </c>
      <c r="G100" t="s">
        <v>115</v>
      </c>
      <c r="H100" t="s">
        <v>19</v>
      </c>
      <c r="I100" s="6" t="s">
        <v>12</v>
      </c>
      <c r="K100" s="89"/>
      <c r="L100" s="36"/>
      <c r="M100" s="36"/>
      <c r="N100" s="36"/>
      <c r="O100" s="36"/>
      <c r="P100" s="36"/>
      <c r="Q100" s="36"/>
      <c r="R100" s="36"/>
      <c r="S100" s="36"/>
      <c r="T100" s="36"/>
      <c r="U100" s="93"/>
      <c r="V100" s="94"/>
      <c r="W100" s="94"/>
    </row>
    <row r="101" spans="1:23" x14ac:dyDescent="0.35">
      <c r="B101" s="89" t="s">
        <v>435</v>
      </c>
      <c r="C101" t="s">
        <v>370</v>
      </c>
      <c r="D101">
        <v>15</v>
      </c>
      <c r="E101">
        <v>65</v>
      </c>
      <c r="F101" t="s">
        <v>72</v>
      </c>
      <c r="G101" t="s">
        <v>116</v>
      </c>
      <c r="H101" t="s">
        <v>19</v>
      </c>
      <c r="I101" s="6" t="s">
        <v>12</v>
      </c>
      <c r="K101" s="40">
        <v>344.26646358159604</v>
      </c>
      <c r="L101" s="36">
        <v>361.18680068470752</v>
      </c>
      <c r="M101" s="36">
        <v>319.58233669835181</v>
      </c>
      <c r="N101" s="36">
        <v>304.64979498106339</v>
      </c>
      <c r="O101" s="36">
        <v>288.57913067992683</v>
      </c>
      <c r="P101" s="36">
        <v>278.60585429332207</v>
      </c>
      <c r="Q101" s="36">
        <v>259.21573065232184</v>
      </c>
      <c r="R101" s="36">
        <v>236.10685857761658</v>
      </c>
      <c r="S101" s="36">
        <v>215.98860739025648</v>
      </c>
      <c r="T101" s="36">
        <v>200.95117408415533</v>
      </c>
      <c r="U101" s="93">
        <v>154.82700149006811</v>
      </c>
      <c r="V101" s="94"/>
      <c r="W101" s="94"/>
    </row>
    <row r="102" spans="1:23" x14ac:dyDescent="0.35">
      <c r="B102" s="89" t="s">
        <v>435</v>
      </c>
      <c r="C102" t="s">
        <v>370</v>
      </c>
      <c r="D102">
        <v>15</v>
      </c>
      <c r="E102">
        <v>65</v>
      </c>
      <c r="F102" t="s">
        <v>72</v>
      </c>
      <c r="G102" t="s">
        <v>117</v>
      </c>
      <c r="H102" t="s">
        <v>19</v>
      </c>
      <c r="I102" s="6" t="s">
        <v>12</v>
      </c>
      <c r="K102" s="39">
        <v>357.11222714807349</v>
      </c>
      <c r="L102" s="1">
        <v>350.11267707880847</v>
      </c>
      <c r="M102" s="1">
        <v>337.14419074507225</v>
      </c>
      <c r="N102" s="1">
        <v>324.73682886977537</v>
      </c>
      <c r="O102" s="1">
        <v>307.81707761753279</v>
      </c>
      <c r="P102" s="1">
        <v>284.46423476923934</v>
      </c>
      <c r="Q102" s="1">
        <v>262.64905158811416</v>
      </c>
      <c r="R102" s="1">
        <v>213.17880732111294</v>
      </c>
      <c r="S102" s="1">
        <v>166.75035050248894</v>
      </c>
      <c r="T102" s="1">
        <v>113.91908418365827</v>
      </c>
      <c r="U102" s="102">
        <v>62.562134753402418</v>
      </c>
      <c r="V102" s="91"/>
      <c r="W102" s="91"/>
    </row>
    <row r="103" spans="1:23" x14ac:dyDescent="0.35">
      <c r="B103" s="95" t="s">
        <v>435</v>
      </c>
      <c r="C103" s="96" t="s">
        <v>370</v>
      </c>
      <c r="D103" s="96">
        <v>15</v>
      </c>
      <c r="E103" s="96">
        <v>65</v>
      </c>
      <c r="F103" s="96" t="s">
        <v>72</v>
      </c>
      <c r="G103" s="96" t="s">
        <v>118</v>
      </c>
      <c r="H103" s="96" t="s">
        <v>19</v>
      </c>
      <c r="I103" s="97" t="s">
        <v>12</v>
      </c>
      <c r="J103" s="98"/>
      <c r="K103" s="103">
        <v>343.44285960173579</v>
      </c>
      <c r="L103" s="104">
        <v>328.42428115357257</v>
      </c>
      <c r="M103" s="104">
        <v>314.05341789811052</v>
      </c>
      <c r="N103" s="104">
        <v>295.41148559589533</v>
      </c>
      <c r="O103" s="104">
        <v>283.60362842682463</v>
      </c>
      <c r="P103" s="104">
        <v>270.86680278517423</v>
      </c>
      <c r="Q103" s="104">
        <v>256.97628589506633</v>
      </c>
      <c r="R103" s="104">
        <v>234.55352398171118</v>
      </c>
      <c r="S103" s="104">
        <v>202.71558196177864</v>
      </c>
      <c r="T103" s="104">
        <v>180.02247245271869</v>
      </c>
      <c r="U103" s="105">
        <v>190.02961151139283</v>
      </c>
      <c r="V103" s="106"/>
      <c r="W103" s="106"/>
    </row>
    <row r="104" spans="1:23" x14ac:dyDescent="0.35">
      <c r="A104">
        <v>7</v>
      </c>
      <c r="B104" s="89" t="s">
        <v>435</v>
      </c>
      <c r="C104" t="s">
        <v>388</v>
      </c>
      <c r="D104">
        <v>20</v>
      </c>
      <c r="E104">
        <v>65</v>
      </c>
      <c r="F104" t="s">
        <v>72</v>
      </c>
      <c r="G104" t="s">
        <v>44</v>
      </c>
      <c r="H104" t="s">
        <v>46</v>
      </c>
      <c r="I104" s="6" t="s">
        <v>12</v>
      </c>
      <c r="J104" s="7">
        <v>1.4119999999999999</v>
      </c>
      <c r="K104" s="89"/>
      <c r="U104" s="90"/>
      <c r="V104" s="91">
        <f>MAX(K104:U108)</f>
        <v>362.83658896225069</v>
      </c>
      <c r="W104" s="91" t="s">
        <v>413</v>
      </c>
    </row>
    <row r="105" spans="1:23" x14ac:dyDescent="0.35">
      <c r="B105" s="89" t="s">
        <v>435</v>
      </c>
      <c r="C105" t="s">
        <v>388</v>
      </c>
      <c r="D105">
        <v>20</v>
      </c>
      <c r="E105">
        <v>65</v>
      </c>
      <c r="F105" t="s">
        <v>72</v>
      </c>
      <c r="G105" t="s">
        <v>115</v>
      </c>
      <c r="H105" t="s">
        <v>19</v>
      </c>
      <c r="I105" s="6" t="s">
        <v>12</v>
      </c>
      <c r="K105" s="89"/>
      <c r="L105" s="36"/>
      <c r="M105" s="36"/>
      <c r="N105" s="36"/>
      <c r="O105" s="36"/>
      <c r="P105" s="36"/>
      <c r="Q105" s="36"/>
      <c r="R105" s="36"/>
      <c r="S105" s="36"/>
      <c r="T105" s="36"/>
      <c r="U105" s="93"/>
      <c r="V105" s="94"/>
      <c r="W105" s="94"/>
    </row>
    <row r="106" spans="1:23" x14ac:dyDescent="0.35">
      <c r="B106" s="89" t="s">
        <v>435</v>
      </c>
      <c r="C106" t="s">
        <v>388</v>
      </c>
      <c r="D106">
        <v>20</v>
      </c>
      <c r="E106">
        <v>65</v>
      </c>
      <c r="F106" t="s">
        <v>72</v>
      </c>
      <c r="G106" t="s">
        <v>116</v>
      </c>
      <c r="H106" t="s">
        <v>19</v>
      </c>
      <c r="I106" s="6" t="s">
        <v>12</v>
      </c>
      <c r="K106" s="40">
        <v>355.36642389538082</v>
      </c>
      <c r="L106" s="36">
        <v>352.9104870259643</v>
      </c>
      <c r="M106" s="36">
        <v>318.64510919144084</v>
      </c>
      <c r="N106" s="36">
        <v>297.71582923236093</v>
      </c>
      <c r="O106" s="36">
        <v>267.27347259147462</v>
      </c>
      <c r="P106" s="36">
        <v>244.93760232275622</v>
      </c>
      <c r="Q106" s="36">
        <v>222.12327613772999</v>
      </c>
      <c r="R106" s="36">
        <v>180.6186595000145</v>
      </c>
      <c r="S106" s="36">
        <v>136.94269438725496</v>
      </c>
      <c r="T106" s="36">
        <v>108.75228063998877</v>
      </c>
      <c r="U106" s="93">
        <v>84.858975921009403</v>
      </c>
      <c r="V106" s="94"/>
      <c r="W106" s="94"/>
    </row>
    <row r="107" spans="1:23" x14ac:dyDescent="0.35">
      <c r="B107" s="89" t="s">
        <v>435</v>
      </c>
      <c r="C107" t="s">
        <v>388</v>
      </c>
      <c r="D107">
        <v>20</v>
      </c>
      <c r="E107">
        <v>65</v>
      </c>
      <c r="F107" t="s">
        <v>72</v>
      </c>
      <c r="G107" t="s">
        <v>117</v>
      </c>
      <c r="H107" t="s">
        <v>19</v>
      </c>
      <c r="I107" s="6" t="s">
        <v>12</v>
      </c>
      <c r="K107" s="39">
        <v>351.23425617566704</v>
      </c>
      <c r="L107" s="1">
        <v>347.04493876514493</v>
      </c>
      <c r="M107" s="1">
        <v>337.9824113323462</v>
      </c>
      <c r="N107" s="1">
        <v>328.61797859571993</v>
      </c>
      <c r="O107" s="1">
        <v>314.92618263028538</v>
      </c>
      <c r="P107" s="1">
        <v>305.82938309170845</v>
      </c>
      <c r="Q107" s="1">
        <v>296.44279566687993</v>
      </c>
      <c r="R107" s="1">
        <v>271.59220932718057</v>
      </c>
      <c r="S107" s="1">
        <v>227.06377728839291</v>
      </c>
      <c r="T107" s="1">
        <v>188.13726846184778</v>
      </c>
      <c r="U107" s="102">
        <v>148.16798404725796</v>
      </c>
      <c r="V107" s="91"/>
      <c r="W107" s="91"/>
    </row>
    <row r="108" spans="1:23" x14ac:dyDescent="0.35">
      <c r="B108" s="95" t="s">
        <v>435</v>
      </c>
      <c r="C108" s="96" t="s">
        <v>388</v>
      </c>
      <c r="D108" s="96">
        <v>20</v>
      </c>
      <c r="E108" s="96">
        <v>65</v>
      </c>
      <c r="F108" s="96" t="s">
        <v>72</v>
      </c>
      <c r="G108" s="96" t="s">
        <v>118</v>
      </c>
      <c r="H108" s="96" t="s">
        <v>19</v>
      </c>
      <c r="I108" s="97" t="s">
        <v>12</v>
      </c>
      <c r="J108" s="98"/>
      <c r="K108" s="103">
        <v>362.83658896225069</v>
      </c>
      <c r="L108" s="104">
        <v>340.44354047341665</v>
      </c>
      <c r="M108" s="104">
        <v>330.14261313133812</v>
      </c>
      <c r="N108" s="104">
        <v>315.05849889638199</v>
      </c>
      <c r="O108" s="104">
        <v>305.38296497482224</v>
      </c>
      <c r="P108" s="104">
        <v>296.22935761349339</v>
      </c>
      <c r="Q108" s="104">
        <v>286.15073345363299</v>
      </c>
      <c r="R108" s="104">
        <v>269.80541847634385</v>
      </c>
      <c r="S108" s="104">
        <v>244.23607407235491</v>
      </c>
      <c r="T108" s="104">
        <v>219.31671770889585</v>
      </c>
      <c r="U108" s="105">
        <v>198.33641982761105</v>
      </c>
      <c r="V108" s="106"/>
      <c r="W108" s="106"/>
    </row>
    <row r="109" spans="1:23" x14ac:dyDescent="0.35">
      <c r="A109">
        <v>7</v>
      </c>
      <c r="B109" s="89" t="s">
        <v>435</v>
      </c>
      <c r="C109" t="s">
        <v>372</v>
      </c>
      <c r="D109">
        <v>25</v>
      </c>
      <c r="E109">
        <v>65</v>
      </c>
      <c r="F109" t="s">
        <v>72</v>
      </c>
      <c r="G109" t="s">
        <v>44</v>
      </c>
      <c r="H109" t="s">
        <v>46</v>
      </c>
      <c r="I109" s="6" t="s">
        <v>12</v>
      </c>
      <c r="J109" s="7">
        <v>1.4259999999999999</v>
      </c>
      <c r="K109" s="89"/>
      <c r="U109" s="90"/>
      <c r="V109" s="91">
        <f>MAX(K109:U113)</f>
        <v>364.82278372185363</v>
      </c>
      <c r="W109" s="91" t="s">
        <v>413</v>
      </c>
    </row>
    <row r="110" spans="1:23" x14ac:dyDescent="0.35">
      <c r="B110" s="89" t="s">
        <v>435</v>
      </c>
      <c r="C110" t="s">
        <v>372</v>
      </c>
      <c r="D110">
        <v>25</v>
      </c>
      <c r="E110">
        <v>65</v>
      </c>
      <c r="F110" t="s">
        <v>72</v>
      </c>
      <c r="G110" t="s">
        <v>115</v>
      </c>
      <c r="H110" t="s">
        <v>19</v>
      </c>
      <c r="I110" s="6" t="s">
        <v>12</v>
      </c>
      <c r="K110" s="89"/>
      <c r="L110" s="36"/>
      <c r="M110" s="36"/>
      <c r="N110" s="36"/>
      <c r="O110" s="36"/>
      <c r="P110" s="36"/>
      <c r="Q110" s="36"/>
      <c r="R110" s="36"/>
      <c r="S110" s="36"/>
      <c r="T110" s="36"/>
      <c r="U110" s="93"/>
      <c r="V110" s="94"/>
      <c r="W110" s="94"/>
    </row>
    <row r="111" spans="1:23" x14ac:dyDescent="0.35">
      <c r="B111" s="89" t="s">
        <v>435</v>
      </c>
      <c r="C111" t="s">
        <v>372</v>
      </c>
      <c r="D111">
        <v>25</v>
      </c>
      <c r="E111">
        <v>65</v>
      </c>
      <c r="F111" t="s">
        <v>72</v>
      </c>
      <c r="G111" t="s">
        <v>116</v>
      </c>
      <c r="H111" t="s">
        <v>19</v>
      </c>
      <c r="I111" s="6" t="s">
        <v>12</v>
      </c>
      <c r="K111" s="40">
        <v>342.23851615811981</v>
      </c>
      <c r="L111" s="36">
        <v>319.09786861516244</v>
      </c>
      <c r="M111" s="36">
        <v>283.75002297120716</v>
      </c>
      <c r="N111" s="36">
        <v>261.55820977113842</v>
      </c>
      <c r="O111" s="36">
        <v>233.24933796060822</v>
      </c>
      <c r="P111" s="36">
        <v>202.79682590730005</v>
      </c>
      <c r="Q111" s="36">
        <v>175.50344647709585</v>
      </c>
      <c r="R111" s="36">
        <v>123.94649250701262</v>
      </c>
      <c r="S111" s="36">
        <v>85.880927920325064</v>
      </c>
      <c r="T111" s="36">
        <v>56.210744096537475</v>
      </c>
      <c r="U111" s="93">
        <v>40.673901567612262</v>
      </c>
      <c r="V111" s="94"/>
      <c r="W111" s="94"/>
    </row>
    <row r="112" spans="1:23" x14ac:dyDescent="0.35">
      <c r="B112" s="89" t="s">
        <v>435</v>
      </c>
      <c r="C112" t="s">
        <v>372</v>
      </c>
      <c r="D112">
        <v>25</v>
      </c>
      <c r="E112">
        <v>65</v>
      </c>
      <c r="F112" t="s">
        <v>72</v>
      </c>
      <c r="G112" t="s">
        <v>117</v>
      </c>
      <c r="H112" t="s">
        <v>19</v>
      </c>
      <c r="I112" s="6" t="s">
        <v>12</v>
      </c>
      <c r="K112" s="39">
        <v>364.82278372185363</v>
      </c>
      <c r="L112" s="1">
        <v>363.36578102420236</v>
      </c>
      <c r="M112" s="1">
        <v>351.30955225006602</v>
      </c>
      <c r="N112" s="1">
        <v>345.51516599397297</v>
      </c>
      <c r="O112" s="1">
        <v>344.25779465449529</v>
      </c>
      <c r="P112" s="1">
        <v>334.63629768094131</v>
      </c>
      <c r="Q112" s="1">
        <v>314.40155825615585</v>
      </c>
      <c r="R112" s="1">
        <v>290.53415751365225</v>
      </c>
      <c r="S112" s="1">
        <v>272.47178579783605</v>
      </c>
      <c r="T112" s="1">
        <v>216.5965015357076</v>
      </c>
      <c r="U112" s="102">
        <v>211.71731636268183</v>
      </c>
      <c r="V112" s="91"/>
      <c r="W112" s="91"/>
    </row>
    <row r="113" spans="1:23" x14ac:dyDescent="0.35">
      <c r="B113" s="95" t="s">
        <v>435</v>
      </c>
      <c r="C113" s="96" t="s">
        <v>372</v>
      </c>
      <c r="D113" s="96">
        <v>25</v>
      </c>
      <c r="E113" s="96">
        <v>65</v>
      </c>
      <c r="F113" s="96" t="s">
        <v>72</v>
      </c>
      <c r="G113" s="96" t="s">
        <v>118</v>
      </c>
      <c r="H113" s="96" t="s">
        <v>19</v>
      </c>
      <c r="I113" s="97" t="s">
        <v>12</v>
      </c>
      <c r="J113" s="98"/>
      <c r="K113" s="103">
        <v>332.73189070928316</v>
      </c>
      <c r="L113" s="104">
        <v>324.86966468830497</v>
      </c>
      <c r="M113" s="104">
        <v>306.54434614617946</v>
      </c>
      <c r="N113" s="104">
        <v>295.37444269669459</v>
      </c>
      <c r="O113" s="104">
        <v>295.59280291699093</v>
      </c>
      <c r="P113" s="104">
        <v>285.3824703166469</v>
      </c>
      <c r="Q113" s="104">
        <v>269.27568754174285</v>
      </c>
      <c r="R113" s="104">
        <v>249.93549794842571</v>
      </c>
      <c r="S113" s="104">
        <v>226.35176696954176</v>
      </c>
      <c r="T113" s="104">
        <v>192.74654968121396</v>
      </c>
      <c r="U113" s="105">
        <v>167.34507147050681</v>
      </c>
      <c r="V113" s="106"/>
      <c r="W113" s="106"/>
    </row>
    <row r="114" spans="1:23" x14ac:dyDescent="0.35">
      <c r="A114">
        <v>8</v>
      </c>
      <c r="B114" s="89" t="s">
        <v>436</v>
      </c>
      <c r="C114" t="s">
        <v>369</v>
      </c>
      <c r="D114">
        <v>12</v>
      </c>
      <c r="E114">
        <v>65</v>
      </c>
      <c r="F114" t="s">
        <v>72</v>
      </c>
      <c r="G114" t="s">
        <v>44</v>
      </c>
      <c r="H114" t="s">
        <v>46</v>
      </c>
      <c r="I114" s="6" t="s">
        <v>20</v>
      </c>
      <c r="J114" s="7">
        <v>1.4690000000000001</v>
      </c>
      <c r="K114" s="89"/>
      <c r="U114" s="90"/>
      <c r="V114" s="91">
        <f>MAX(K114:U118)</f>
        <v>402.35882863286014</v>
      </c>
      <c r="W114" s="91" t="s">
        <v>413</v>
      </c>
    </row>
    <row r="115" spans="1:23" x14ac:dyDescent="0.35">
      <c r="B115" s="89" t="s">
        <v>436</v>
      </c>
      <c r="C115" t="s">
        <v>369</v>
      </c>
      <c r="D115">
        <v>12</v>
      </c>
      <c r="E115">
        <v>65</v>
      </c>
      <c r="F115" t="s">
        <v>72</v>
      </c>
      <c r="G115" t="s">
        <v>115</v>
      </c>
      <c r="H115" t="s">
        <v>19</v>
      </c>
      <c r="I115" s="6" t="s">
        <v>20</v>
      </c>
      <c r="K115" s="89"/>
      <c r="L115" s="36"/>
      <c r="M115" s="36"/>
      <c r="N115" s="36"/>
      <c r="O115" s="36"/>
      <c r="P115" s="36"/>
      <c r="Q115" s="36"/>
      <c r="R115" s="36"/>
      <c r="S115" s="36"/>
      <c r="T115" s="36"/>
      <c r="U115" s="93"/>
      <c r="V115" s="94"/>
      <c r="W115" s="94"/>
    </row>
    <row r="116" spans="1:23" x14ac:dyDescent="0.35">
      <c r="B116" s="89" t="s">
        <v>436</v>
      </c>
      <c r="C116" t="s">
        <v>369</v>
      </c>
      <c r="D116">
        <v>12</v>
      </c>
      <c r="E116">
        <v>65</v>
      </c>
      <c r="F116" t="s">
        <v>72</v>
      </c>
      <c r="G116" t="s">
        <v>116</v>
      </c>
      <c r="H116" t="s">
        <v>19</v>
      </c>
      <c r="I116" s="6" t="s">
        <v>20</v>
      </c>
      <c r="K116" s="40">
        <v>402.35882863286014</v>
      </c>
      <c r="L116" s="36">
        <v>402.35882863286014</v>
      </c>
      <c r="M116" s="36">
        <v>396.07197193547171</v>
      </c>
      <c r="N116" s="36">
        <v>397.32934327494939</v>
      </c>
      <c r="O116" s="36">
        <v>395.06607486388953</v>
      </c>
      <c r="P116" s="36">
        <v>395.69476053362837</v>
      </c>
      <c r="Q116" s="36">
        <v>388.27626963071003</v>
      </c>
      <c r="R116" s="36">
        <v>377.08566470935864</v>
      </c>
      <c r="S116" s="36">
        <v>370.67307087802243</v>
      </c>
      <c r="T116" s="36">
        <v>371.55323081565678</v>
      </c>
      <c r="U116" s="93">
        <v>363.25457997510404</v>
      </c>
      <c r="V116" s="94"/>
      <c r="W116" s="94"/>
    </row>
    <row r="117" spans="1:23" x14ac:dyDescent="0.35">
      <c r="B117" s="89" t="s">
        <v>436</v>
      </c>
      <c r="C117" t="s">
        <v>369</v>
      </c>
      <c r="D117">
        <v>12</v>
      </c>
      <c r="E117">
        <v>65</v>
      </c>
      <c r="F117" t="s">
        <v>72</v>
      </c>
      <c r="G117" t="s">
        <v>117</v>
      </c>
      <c r="H117" t="s">
        <v>19</v>
      </c>
      <c r="I117" s="6" t="s">
        <v>20</v>
      </c>
      <c r="K117" s="39">
        <v>352.06397505375264</v>
      </c>
      <c r="L117" s="1">
        <v>345.77711835636416</v>
      </c>
      <c r="M117" s="1">
        <v>321.1326401026015</v>
      </c>
      <c r="N117" s="1">
        <v>325.78491405866896</v>
      </c>
      <c r="O117" s="1">
        <v>316.48036614653404</v>
      </c>
      <c r="P117" s="1">
        <v>319.12084595943719</v>
      </c>
      <c r="Q117" s="1">
        <v>319.49805736128053</v>
      </c>
      <c r="R117" s="1">
        <v>315.72594334284742</v>
      </c>
      <c r="S117" s="1">
        <v>300.2602758672719</v>
      </c>
      <c r="T117" s="1">
        <v>268.70025524638191</v>
      </c>
      <c r="U117" s="102">
        <v>220.92014434622976</v>
      </c>
      <c r="V117" s="91"/>
      <c r="W117" s="91"/>
    </row>
    <row r="118" spans="1:23" x14ac:dyDescent="0.35">
      <c r="B118" s="95" t="s">
        <v>436</v>
      </c>
      <c r="C118" s="96" t="s">
        <v>369</v>
      </c>
      <c r="D118" s="96">
        <v>12</v>
      </c>
      <c r="E118" s="96">
        <v>65</v>
      </c>
      <c r="F118" s="96" t="s">
        <v>72</v>
      </c>
      <c r="G118" s="96" t="s">
        <v>118</v>
      </c>
      <c r="H118" s="96" t="s">
        <v>19</v>
      </c>
      <c r="I118" s="97" t="s">
        <v>20</v>
      </c>
      <c r="J118" s="98"/>
      <c r="K118" s="103">
        <v>352.06397505375264</v>
      </c>
      <c r="L118" s="104">
        <v>339.49026165897573</v>
      </c>
      <c r="M118" s="104">
        <v>321.1326401026015</v>
      </c>
      <c r="N118" s="104">
        <v>315.8516804767952</v>
      </c>
      <c r="O118" s="104">
        <v>305.66697262702593</v>
      </c>
      <c r="P118" s="104">
        <v>285.80050546327845</v>
      </c>
      <c r="Q118" s="104">
        <v>280.39380870352443</v>
      </c>
      <c r="R118" s="104">
        <v>250.84558222579875</v>
      </c>
      <c r="S118" s="104">
        <v>221.5488300159686</v>
      </c>
      <c r="T118" s="104">
        <v>197.0300888961537</v>
      </c>
      <c r="U118" s="105">
        <v>176.9121474645107</v>
      </c>
      <c r="V118" s="106"/>
      <c r="W118" s="106"/>
    </row>
    <row r="119" spans="1:23" x14ac:dyDescent="0.35">
      <c r="A119">
        <v>8</v>
      </c>
      <c r="B119" s="89" t="s">
        <v>436</v>
      </c>
      <c r="C119" t="s">
        <v>370</v>
      </c>
      <c r="D119">
        <v>15</v>
      </c>
      <c r="E119">
        <v>65</v>
      </c>
      <c r="F119" t="s">
        <v>72</v>
      </c>
      <c r="G119" t="s">
        <v>44</v>
      </c>
      <c r="H119" t="s">
        <v>46</v>
      </c>
      <c r="I119" s="6" t="s">
        <v>12</v>
      </c>
      <c r="J119" s="7">
        <v>1.5620000000000001</v>
      </c>
      <c r="K119" s="89"/>
      <c r="U119" s="90"/>
      <c r="V119" s="91">
        <f>MAX(K119:U123)</f>
        <v>444.07632740572177</v>
      </c>
      <c r="W119" s="91" t="s">
        <v>413</v>
      </c>
    </row>
    <row r="120" spans="1:23" x14ac:dyDescent="0.35">
      <c r="B120" s="89" t="s">
        <v>436</v>
      </c>
      <c r="C120" t="s">
        <v>370</v>
      </c>
      <c r="D120">
        <v>15</v>
      </c>
      <c r="E120">
        <v>65</v>
      </c>
      <c r="F120" t="s">
        <v>72</v>
      </c>
      <c r="G120" t="s">
        <v>115</v>
      </c>
      <c r="H120" t="s">
        <v>19</v>
      </c>
      <c r="I120" s="6" t="s">
        <v>12</v>
      </c>
      <c r="K120" s="89"/>
      <c r="L120" s="36"/>
      <c r="M120" s="36"/>
      <c r="N120" s="36"/>
      <c r="O120" s="36"/>
      <c r="P120" s="36"/>
      <c r="Q120" s="36"/>
      <c r="R120" s="36"/>
      <c r="S120" s="36"/>
      <c r="T120" s="36"/>
      <c r="U120" s="93"/>
      <c r="V120" s="94"/>
      <c r="W120" s="94"/>
    </row>
    <row r="121" spans="1:23" x14ac:dyDescent="0.35">
      <c r="B121" s="89" t="s">
        <v>436</v>
      </c>
      <c r="C121" t="s">
        <v>370</v>
      </c>
      <c r="D121">
        <v>15</v>
      </c>
      <c r="E121">
        <v>65</v>
      </c>
      <c r="F121" t="s">
        <v>72</v>
      </c>
      <c r="G121" t="s">
        <v>116</v>
      </c>
      <c r="H121" t="s">
        <v>19</v>
      </c>
      <c r="I121" s="6" t="s">
        <v>12</v>
      </c>
      <c r="K121" s="40">
        <v>428.7685966090832</v>
      </c>
      <c r="L121" s="36">
        <v>444.07632740572177</v>
      </c>
      <c r="M121" s="36">
        <v>415.14366781225078</v>
      </c>
      <c r="N121" s="36">
        <v>397.89111783127925</v>
      </c>
      <c r="O121" s="36">
        <v>394.17760630506916</v>
      </c>
      <c r="P121" s="36">
        <v>384.94053743009567</v>
      </c>
      <c r="Q121" s="36">
        <v>378.3917351138445</v>
      </c>
      <c r="R121" s="36">
        <v>366.31049084730597</v>
      </c>
      <c r="S121" s="36">
        <v>353.97917643176498</v>
      </c>
      <c r="T121" s="36">
        <v>342.0599113833232</v>
      </c>
      <c r="U121" s="93">
        <v>341.90091730651744</v>
      </c>
      <c r="V121" s="94"/>
      <c r="W121" s="94"/>
    </row>
    <row r="122" spans="1:23" x14ac:dyDescent="0.35">
      <c r="B122" s="89" t="s">
        <v>436</v>
      </c>
      <c r="C122" t="s">
        <v>370</v>
      </c>
      <c r="D122">
        <v>15</v>
      </c>
      <c r="E122">
        <v>65</v>
      </c>
      <c r="F122" t="s">
        <v>72</v>
      </c>
      <c r="G122" t="s">
        <v>117</v>
      </c>
      <c r="H122" t="s">
        <v>19</v>
      </c>
      <c r="I122" s="6" t="s">
        <v>12</v>
      </c>
      <c r="K122" s="39">
        <v>377.97371059964479</v>
      </c>
      <c r="L122" s="1">
        <v>378.91295327553433</v>
      </c>
      <c r="M122" s="1">
        <v>355.21573036495994</v>
      </c>
      <c r="N122" s="1">
        <v>339.73788402342427</v>
      </c>
      <c r="O122" s="1">
        <v>322.55273008601159</v>
      </c>
      <c r="P122" s="1">
        <v>303.71721983284903</v>
      </c>
      <c r="Q122" s="1">
        <v>300.44762698481713</v>
      </c>
      <c r="R122" s="1">
        <v>261.32971730807338</v>
      </c>
      <c r="S122" s="1">
        <v>205.65083728468278</v>
      </c>
      <c r="T122" s="1">
        <v>147.9887121435255</v>
      </c>
      <c r="U122" s="102">
        <v>100.95264272825642</v>
      </c>
      <c r="V122" s="91"/>
      <c r="W122" s="91"/>
    </row>
    <row r="123" spans="1:23" x14ac:dyDescent="0.35">
      <c r="B123" s="95" t="s">
        <v>436</v>
      </c>
      <c r="C123" s="96" t="s">
        <v>370</v>
      </c>
      <c r="D123" s="96">
        <v>15</v>
      </c>
      <c r="E123" s="96">
        <v>65</v>
      </c>
      <c r="F123" s="96" t="s">
        <v>72</v>
      </c>
      <c r="G123" s="96" t="s">
        <v>118</v>
      </c>
      <c r="H123" s="96" t="s">
        <v>19</v>
      </c>
      <c r="I123" s="97" t="s">
        <v>12</v>
      </c>
      <c r="J123" s="98"/>
      <c r="K123" s="103">
        <v>317.18846474297675</v>
      </c>
      <c r="L123" s="104">
        <v>331.9999209652301</v>
      </c>
      <c r="M123" s="104">
        <v>306.9866634630236</v>
      </c>
      <c r="N123" s="104">
        <v>290.1500284026821</v>
      </c>
      <c r="O123" s="104">
        <v>272.49152127859509</v>
      </c>
      <c r="P123" s="104">
        <v>255.63616702920874</v>
      </c>
      <c r="Q123" s="104">
        <v>241.29716401931159</v>
      </c>
      <c r="R123" s="104">
        <v>203.35839739594249</v>
      </c>
      <c r="S123" s="104">
        <v>173.66894943344488</v>
      </c>
      <c r="T123" s="104">
        <v>137.50958129287852</v>
      </c>
      <c r="U123" s="105">
        <v>101.39541747706456</v>
      </c>
      <c r="V123" s="106"/>
      <c r="W123" s="106"/>
    </row>
    <row r="124" spans="1:23" x14ac:dyDescent="0.35">
      <c r="A124">
        <v>8</v>
      </c>
      <c r="B124" s="89" t="s">
        <v>436</v>
      </c>
      <c r="C124" t="s">
        <v>388</v>
      </c>
      <c r="D124">
        <v>20</v>
      </c>
      <c r="E124">
        <v>65</v>
      </c>
      <c r="F124" t="s">
        <v>72</v>
      </c>
      <c r="G124" t="s">
        <v>44</v>
      </c>
      <c r="H124" t="s">
        <v>46</v>
      </c>
      <c r="I124" s="6" t="s">
        <v>12</v>
      </c>
      <c r="J124" s="7">
        <v>1.6180000000000001</v>
      </c>
      <c r="K124" s="89"/>
      <c r="U124" s="90"/>
      <c r="V124" s="91">
        <f>MAX(K124:U128)</f>
        <v>377.74743909855738</v>
      </c>
      <c r="W124" s="91" t="s">
        <v>413</v>
      </c>
    </row>
    <row r="125" spans="1:23" x14ac:dyDescent="0.35">
      <c r="B125" s="89" t="s">
        <v>436</v>
      </c>
      <c r="C125" t="s">
        <v>388</v>
      </c>
      <c r="D125">
        <v>20</v>
      </c>
      <c r="E125">
        <v>65</v>
      </c>
      <c r="F125" t="s">
        <v>72</v>
      </c>
      <c r="G125" t="s">
        <v>115</v>
      </c>
      <c r="H125" t="s">
        <v>19</v>
      </c>
      <c r="I125" s="6" t="s">
        <v>12</v>
      </c>
      <c r="K125" s="89"/>
      <c r="L125" s="36"/>
      <c r="M125" s="36"/>
      <c r="N125" s="36"/>
      <c r="O125" s="36"/>
      <c r="P125" s="36"/>
      <c r="Q125" s="36"/>
      <c r="R125" s="36"/>
      <c r="S125" s="36"/>
      <c r="T125" s="36"/>
      <c r="U125" s="93"/>
      <c r="V125" s="94"/>
      <c r="W125" s="94"/>
    </row>
    <row r="126" spans="1:23" x14ac:dyDescent="0.35">
      <c r="B126" s="89" t="s">
        <v>436</v>
      </c>
      <c r="C126" t="s">
        <v>388</v>
      </c>
      <c r="D126">
        <v>20</v>
      </c>
      <c r="E126">
        <v>65</v>
      </c>
      <c r="F126" t="s">
        <v>72</v>
      </c>
      <c r="G126" t="s">
        <v>116</v>
      </c>
      <c r="H126" t="s">
        <v>19</v>
      </c>
      <c r="I126" s="6" t="s">
        <v>12</v>
      </c>
      <c r="K126" s="40">
        <v>377.74743909855738</v>
      </c>
      <c r="L126" s="36">
        <v>358.3950362122946</v>
      </c>
      <c r="M126" s="36">
        <v>346.56920690942724</v>
      </c>
      <c r="N126" s="36">
        <v>328.42263041807871</v>
      </c>
      <c r="O126" s="36">
        <v>310.49058069968157</v>
      </c>
      <c r="P126" s="36">
        <v>296.06505082951458</v>
      </c>
      <c r="Q126" s="36">
        <v>278.55898819162144</v>
      </c>
      <c r="R126" s="36">
        <v>248.49109275677679</v>
      </c>
      <c r="S126" s="36">
        <v>221.60133563234243</v>
      </c>
      <c r="T126" s="36">
        <v>191.18859757808028</v>
      </c>
      <c r="U126" s="93">
        <v>170.3558144866571</v>
      </c>
      <c r="V126" s="94"/>
      <c r="W126" s="94"/>
    </row>
    <row r="127" spans="1:23" x14ac:dyDescent="0.35">
      <c r="B127" s="89" t="s">
        <v>436</v>
      </c>
      <c r="C127" t="s">
        <v>388</v>
      </c>
      <c r="D127">
        <v>20</v>
      </c>
      <c r="E127">
        <v>65</v>
      </c>
      <c r="F127" t="s">
        <v>72</v>
      </c>
      <c r="G127" t="s">
        <v>117</v>
      </c>
      <c r="H127" t="s">
        <v>19</v>
      </c>
      <c r="I127" s="6" t="s">
        <v>12</v>
      </c>
      <c r="K127" s="39">
        <v>377.74743909855738</v>
      </c>
      <c r="L127" s="1">
        <v>370.95335284507041</v>
      </c>
      <c r="M127" s="1">
        <v>363.21201851162175</v>
      </c>
      <c r="N127" s="1">
        <v>346.90958525814546</v>
      </c>
      <c r="O127" s="1">
        <v>332.5398697536146</v>
      </c>
      <c r="P127" s="1">
        <v>322.7780478951895</v>
      </c>
      <c r="Q127" s="1">
        <v>303.70481156305158</v>
      </c>
      <c r="R127" s="1">
        <v>278.54473320429253</v>
      </c>
      <c r="S127" s="1">
        <v>223.07214095733585</v>
      </c>
      <c r="T127" s="1">
        <v>180.63866450030335</v>
      </c>
      <c r="U127" s="102">
        <v>128.21842107001967</v>
      </c>
      <c r="V127" s="91"/>
      <c r="W127" s="91"/>
    </row>
    <row r="128" spans="1:23" x14ac:dyDescent="0.35">
      <c r="B128" s="95" t="s">
        <v>436</v>
      </c>
      <c r="C128" s="96" t="s">
        <v>388</v>
      </c>
      <c r="D128" s="96">
        <v>20</v>
      </c>
      <c r="E128" s="96">
        <v>65</v>
      </c>
      <c r="F128" s="96" t="s">
        <v>72</v>
      </c>
      <c r="G128" s="96" t="s">
        <v>118</v>
      </c>
      <c r="H128" s="96" t="s">
        <v>19</v>
      </c>
      <c r="I128" s="97" t="s">
        <v>12</v>
      </c>
      <c r="J128" s="98"/>
      <c r="K128" s="103">
        <v>352.97711522324215</v>
      </c>
      <c r="L128" s="104">
        <v>334.03809200369204</v>
      </c>
      <c r="M128" s="104">
        <v>332.29236709946571</v>
      </c>
      <c r="N128" s="104">
        <v>320.96130598601331</v>
      </c>
      <c r="O128" s="104">
        <v>304.04496359909973</v>
      </c>
      <c r="P128" s="104">
        <v>292.18646937759956</v>
      </c>
      <c r="Q128" s="104">
        <v>277.94677063515627</v>
      </c>
      <c r="R128" s="104">
        <v>252.33940614017823</v>
      </c>
      <c r="S128" s="104">
        <v>223.07214095733585</v>
      </c>
      <c r="T128" s="104">
        <v>191.61251908047069</v>
      </c>
      <c r="U128" s="105">
        <v>160.98247658312789</v>
      </c>
      <c r="V128" s="106"/>
      <c r="W128" s="106"/>
    </row>
    <row r="129" spans="1:23" x14ac:dyDescent="0.35">
      <c r="A129">
        <v>8</v>
      </c>
      <c r="B129" s="89" t="s">
        <v>436</v>
      </c>
      <c r="C129" t="s">
        <v>372</v>
      </c>
      <c r="D129">
        <v>25</v>
      </c>
      <c r="E129">
        <v>65</v>
      </c>
      <c r="F129" t="s">
        <v>72</v>
      </c>
      <c r="G129" t="s">
        <v>44</v>
      </c>
      <c r="H129" t="s">
        <v>46</v>
      </c>
      <c r="I129" s="6" t="s">
        <v>12</v>
      </c>
      <c r="J129" s="7">
        <v>1.603</v>
      </c>
      <c r="K129" s="89"/>
      <c r="U129" s="90"/>
      <c r="V129" s="91">
        <f>MAX(K129:U133)</f>
        <v>397.19943036902549</v>
      </c>
      <c r="W129" s="91" t="s">
        <v>413</v>
      </c>
    </row>
    <row r="130" spans="1:23" x14ac:dyDescent="0.35">
      <c r="B130" s="89" t="s">
        <v>436</v>
      </c>
      <c r="C130" t="s">
        <v>372</v>
      </c>
      <c r="D130">
        <v>25</v>
      </c>
      <c r="E130">
        <v>65</v>
      </c>
      <c r="F130" t="s">
        <v>72</v>
      </c>
      <c r="G130" t="s">
        <v>115</v>
      </c>
      <c r="H130" t="s">
        <v>19</v>
      </c>
      <c r="I130" s="6" t="s">
        <v>12</v>
      </c>
      <c r="K130" s="89"/>
      <c r="L130" s="36"/>
      <c r="M130" s="36"/>
      <c r="N130" s="36"/>
      <c r="O130" s="36"/>
      <c r="P130" s="36"/>
      <c r="Q130" s="36"/>
      <c r="R130" s="36"/>
      <c r="S130" s="36"/>
      <c r="T130" s="36"/>
      <c r="U130" s="93"/>
      <c r="V130" s="94"/>
      <c r="W130" s="94"/>
    </row>
    <row r="131" spans="1:23" x14ac:dyDescent="0.35">
      <c r="B131" s="89" t="s">
        <v>436</v>
      </c>
      <c r="C131" t="s">
        <v>372</v>
      </c>
      <c r="D131">
        <v>25</v>
      </c>
      <c r="E131">
        <v>65</v>
      </c>
      <c r="F131" t="s">
        <v>72</v>
      </c>
      <c r="G131" t="s">
        <v>116</v>
      </c>
      <c r="H131" t="s">
        <v>19</v>
      </c>
      <c r="I131" s="6" t="s">
        <v>12</v>
      </c>
      <c r="K131" s="40">
        <v>368.63371791097916</v>
      </c>
      <c r="L131" s="36">
        <v>345.83775301486696</v>
      </c>
      <c r="M131" s="36">
        <v>323.04150783080854</v>
      </c>
      <c r="N131" s="36">
        <v>301.54796877223703</v>
      </c>
      <c r="O131" s="36">
        <v>292.2041180707613</v>
      </c>
      <c r="P131" s="36">
        <v>259.66383552716871</v>
      </c>
      <c r="Q131" s="36">
        <v>239.50851426929935</v>
      </c>
      <c r="R131" s="36">
        <v>203.50884571718731</v>
      </c>
      <c r="S131" s="36">
        <v>165.12244208140814</v>
      </c>
      <c r="T131" s="36">
        <v>118.86473667562359</v>
      </c>
      <c r="U131" s="93">
        <v>68.057610300036899</v>
      </c>
      <c r="V131" s="94"/>
      <c r="W131" s="94"/>
    </row>
    <row r="132" spans="1:23" x14ac:dyDescent="0.35">
      <c r="B132" s="89" t="s">
        <v>436</v>
      </c>
      <c r="C132" t="s">
        <v>372</v>
      </c>
      <c r="D132">
        <v>25</v>
      </c>
      <c r="E132">
        <v>65</v>
      </c>
      <c r="F132" t="s">
        <v>72</v>
      </c>
      <c r="G132" t="s">
        <v>117</v>
      </c>
      <c r="H132" t="s">
        <v>19</v>
      </c>
      <c r="I132" s="6" t="s">
        <v>12</v>
      </c>
      <c r="K132" s="39">
        <v>397.19943036902549</v>
      </c>
      <c r="L132" s="1">
        <v>391.55193875821141</v>
      </c>
      <c r="M132" s="1">
        <v>384.31628954155502</v>
      </c>
      <c r="N132" s="1">
        <v>372.78978474885173</v>
      </c>
      <c r="O132" s="1">
        <v>357.56880811317325</v>
      </c>
      <c r="P132" s="1">
        <v>352.48774543867637</v>
      </c>
      <c r="Q132" s="1">
        <v>338.22593583200097</v>
      </c>
      <c r="R132" s="1">
        <v>311.12429805575897</v>
      </c>
      <c r="S132" s="1">
        <v>274.10834290363533</v>
      </c>
      <c r="T132" s="1">
        <v>244.26099993591282</v>
      </c>
      <c r="U132" s="102">
        <v>208.58703216341948</v>
      </c>
      <c r="V132" s="91"/>
      <c r="W132" s="91"/>
    </row>
    <row r="133" spans="1:23" x14ac:dyDescent="0.35">
      <c r="B133" s="95" t="s">
        <v>436</v>
      </c>
      <c r="C133" s="96" t="s">
        <v>372</v>
      </c>
      <c r="D133" s="96">
        <v>25</v>
      </c>
      <c r="E133" s="96">
        <v>65</v>
      </c>
      <c r="F133" s="96" t="s">
        <v>72</v>
      </c>
      <c r="G133" s="96" t="s">
        <v>118</v>
      </c>
      <c r="H133" s="96" t="s">
        <v>19</v>
      </c>
      <c r="I133" s="97" t="s">
        <v>12</v>
      </c>
      <c r="J133" s="98"/>
      <c r="K133" s="103">
        <v>348.35289847898349</v>
      </c>
      <c r="L133" s="104">
        <v>338.9554096712875</v>
      </c>
      <c r="M133" s="104">
        <v>337.1896866257556</v>
      </c>
      <c r="N133" s="104">
        <v>329.6629119793738</v>
      </c>
      <c r="O133" s="104">
        <v>314.6813579223583</v>
      </c>
      <c r="P133" s="104">
        <v>306.82491746631143</v>
      </c>
      <c r="Q133" s="104">
        <v>291.15116416555247</v>
      </c>
      <c r="R133" s="104">
        <v>265.90894663200265</v>
      </c>
      <c r="S133" s="104">
        <v>241.31166767371516</v>
      </c>
      <c r="T133" s="104">
        <v>211.08086818313021</v>
      </c>
      <c r="U133" s="105">
        <v>180.141242871499</v>
      </c>
      <c r="V133" s="106"/>
      <c r="W133" s="106"/>
    </row>
    <row r="134" spans="1:23" x14ac:dyDescent="0.35">
      <c r="A134">
        <v>9</v>
      </c>
      <c r="B134" s="89" t="s">
        <v>437</v>
      </c>
      <c r="C134" t="s">
        <v>370</v>
      </c>
      <c r="D134">
        <v>15</v>
      </c>
      <c r="E134">
        <v>65</v>
      </c>
      <c r="F134" t="s">
        <v>72</v>
      </c>
      <c r="G134" t="s">
        <v>44</v>
      </c>
      <c r="H134" t="s">
        <v>46</v>
      </c>
      <c r="I134" s="6" t="s">
        <v>12</v>
      </c>
      <c r="J134" s="7">
        <v>1.798</v>
      </c>
      <c r="K134" s="89"/>
      <c r="U134" s="90"/>
      <c r="V134" s="91">
        <f>MAX(K134:U138)</f>
        <v>390.27018115926842</v>
      </c>
      <c r="W134" s="91" t="s">
        <v>413</v>
      </c>
    </row>
    <row r="135" spans="1:23" x14ac:dyDescent="0.35">
      <c r="B135" s="89" t="s">
        <v>437</v>
      </c>
      <c r="C135" t="s">
        <v>370</v>
      </c>
      <c r="D135">
        <v>15</v>
      </c>
      <c r="E135">
        <v>65</v>
      </c>
      <c r="F135" t="s">
        <v>72</v>
      </c>
      <c r="G135" t="s">
        <v>115</v>
      </c>
      <c r="H135" t="s">
        <v>19</v>
      </c>
      <c r="I135" s="6" t="s">
        <v>12</v>
      </c>
      <c r="K135" s="89"/>
      <c r="L135" s="36"/>
      <c r="M135" s="36"/>
      <c r="N135" s="36"/>
      <c r="O135" s="36"/>
      <c r="P135" s="36"/>
      <c r="Q135" s="36"/>
      <c r="R135" s="36"/>
      <c r="S135" s="36"/>
      <c r="T135" s="36"/>
      <c r="U135" s="93"/>
      <c r="V135" s="94"/>
      <c r="W135" s="94"/>
    </row>
    <row r="136" spans="1:23" x14ac:dyDescent="0.35">
      <c r="B136" s="89" t="s">
        <v>437</v>
      </c>
      <c r="C136" t="s">
        <v>370</v>
      </c>
      <c r="D136">
        <v>15</v>
      </c>
      <c r="E136">
        <v>65</v>
      </c>
      <c r="F136" t="s">
        <v>72</v>
      </c>
      <c r="G136" t="s">
        <v>116</v>
      </c>
      <c r="H136" t="s">
        <v>19</v>
      </c>
      <c r="I136" s="6" t="s">
        <v>12</v>
      </c>
      <c r="K136" s="40">
        <v>188.58837713875371</v>
      </c>
      <c r="L136" s="36">
        <v>213.49075622503594</v>
      </c>
      <c r="M136" s="36">
        <v>279.93333137742235</v>
      </c>
      <c r="N136" s="36">
        <v>351.44395127546352</v>
      </c>
      <c r="O136" s="36">
        <v>354.78241188970344</v>
      </c>
      <c r="P136" s="36">
        <v>376.85039656094966</v>
      </c>
      <c r="Q136" s="36">
        <v>390.27018115926842</v>
      </c>
      <c r="R136" s="36">
        <v>379.22319598647067</v>
      </c>
      <c r="S136" s="36">
        <v>359.32375775204355</v>
      </c>
      <c r="T136" s="36">
        <v>362.18329959386904</v>
      </c>
      <c r="U136" s="93">
        <v>334.87878241747796</v>
      </c>
      <c r="V136" s="94"/>
      <c r="W136" s="94"/>
    </row>
    <row r="137" spans="1:23" x14ac:dyDescent="0.35">
      <c r="B137" s="89" t="s">
        <v>437</v>
      </c>
      <c r="C137" t="s">
        <v>370</v>
      </c>
      <c r="D137">
        <v>15</v>
      </c>
      <c r="E137">
        <v>65</v>
      </c>
      <c r="F137" t="s">
        <v>72</v>
      </c>
      <c r="G137" t="s">
        <v>117</v>
      </c>
      <c r="H137" t="s">
        <v>19</v>
      </c>
      <c r="I137" s="6" t="s">
        <v>12</v>
      </c>
      <c r="K137" s="39">
        <v>320.37821729891488</v>
      </c>
      <c r="L137" s="1">
        <v>337.6042046497592</v>
      </c>
      <c r="M137" s="1">
        <v>376.83419044146308</v>
      </c>
      <c r="N137" s="1">
        <v>324.52754271919127</v>
      </c>
      <c r="O137" s="1">
        <v>309.0618752436157</v>
      </c>
      <c r="P137" s="1">
        <v>279.76512303378558</v>
      </c>
      <c r="Q137" s="1">
        <v>253.10885063685859</v>
      </c>
      <c r="R137" s="1">
        <v>212.11854496988596</v>
      </c>
      <c r="S137" s="1">
        <v>169.49365656159233</v>
      </c>
      <c r="T137" s="1">
        <v>127.62319095698533</v>
      </c>
      <c r="U137" s="102">
        <v>88.015993763438161</v>
      </c>
      <c r="V137" s="91"/>
      <c r="W137" s="91"/>
    </row>
    <row r="138" spans="1:23" x14ac:dyDescent="0.35">
      <c r="B138" s="95" t="s">
        <v>437</v>
      </c>
      <c r="C138" s="96" t="s">
        <v>370</v>
      </c>
      <c r="D138" s="96">
        <v>15</v>
      </c>
      <c r="E138" s="96">
        <v>65</v>
      </c>
      <c r="F138" s="96" t="s">
        <v>72</v>
      </c>
      <c r="G138" s="96" t="s">
        <v>118</v>
      </c>
      <c r="H138" s="96" t="s">
        <v>19</v>
      </c>
      <c r="I138" s="97" t="s">
        <v>12</v>
      </c>
      <c r="J138" s="98"/>
      <c r="K138" s="103">
        <v>312.49561666380265</v>
      </c>
      <c r="L138" s="104">
        <v>373.81649922671664</v>
      </c>
      <c r="M138" s="104">
        <v>368.40980246696256</v>
      </c>
      <c r="N138" s="104">
        <v>378.65318764590751</v>
      </c>
      <c r="O138" s="104">
        <v>357.8573833543594</v>
      </c>
      <c r="P138" s="104">
        <v>344.39400988293875</v>
      </c>
      <c r="Q138" s="104">
        <v>330.05997661289308</v>
      </c>
      <c r="R138" s="104">
        <v>303.02649281412278</v>
      </c>
      <c r="S138" s="104">
        <v>281.02249437326327</v>
      </c>
      <c r="T138" s="104">
        <v>238.77481736681293</v>
      </c>
      <c r="U138" s="105">
        <v>220.16572154254317</v>
      </c>
      <c r="V138" s="106"/>
      <c r="W138" s="106"/>
    </row>
    <row r="139" spans="1:23" x14ac:dyDescent="0.35">
      <c r="A139">
        <v>9</v>
      </c>
      <c r="B139" s="89" t="s">
        <v>437</v>
      </c>
      <c r="C139" t="s">
        <v>388</v>
      </c>
      <c r="D139">
        <v>20</v>
      </c>
      <c r="E139">
        <v>65</v>
      </c>
      <c r="F139" t="s">
        <v>72</v>
      </c>
      <c r="G139" t="s">
        <v>44</v>
      </c>
      <c r="H139" t="s">
        <v>46</v>
      </c>
      <c r="I139" s="6" t="s">
        <v>12</v>
      </c>
      <c r="J139" s="7">
        <v>1.5960000000000001</v>
      </c>
      <c r="K139" s="89"/>
      <c r="U139" s="90"/>
      <c r="V139" s="91">
        <f>MAX(K139:U143)</f>
        <v>497.16462762947782</v>
      </c>
      <c r="W139" s="91" t="s">
        <v>413</v>
      </c>
    </row>
    <row r="140" spans="1:23" x14ac:dyDescent="0.35">
      <c r="B140" s="89" t="s">
        <v>437</v>
      </c>
      <c r="C140" t="s">
        <v>388</v>
      </c>
      <c r="D140">
        <v>20</v>
      </c>
      <c r="E140">
        <v>65</v>
      </c>
      <c r="F140" t="s">
        <v>72</v>
      </c>
      <c r="G140" t="s">
        <v>115</v>
      </c>
      <c r="H140" t="s">
        <v>19</v>
      </c>
      <c r="I140" s="6" t="s">
        <v>12</v>
      </c>
      <c r="K140" s="89"/>
      <c r="L140" s="36"/>
      <c r="M140" s="36"/>
      <c r="N140" s="36"/>
      <c r="O140" s="36"/>
      <c r="P140" s="36"/>
      <c r="Q140" s="36"/>
      <c r="R140" s="36"/>
      <c r="S140" s="36"/>
      <c r="T140" s="36"/>
      <c r="U140" s="93"/>
      <c r="V140" s="94"/>
      <c r="W140" s="94"/>
    </row>
    <row r="141" spans="1:23" x14ac:dyDescent="0.35">
      <c r="B141" s="89" t="s">
        <v>437</v>
      </c>
      <c r="C141" t="s">
        <v>388</v>
      </c>
      <c r="D141">
        <v>20</v>
      </c>
      <c r="E141">
        <v>65</v>
      </c>
      <c r="F141" t="s">
        <v>72</v>
      </c>
      <c r="G141" t="s">
        <v>116</v>
      </c>
      <c r="H141" t="s">
        <v>19</v>
      </c>
      <c r="I141" s="6" t="s">
        <v>12</v>
      </c>
      <c r="K141" s="40">
        <v>207.08207421564478</v>
      </c>
      <c r="L141" s="36">
        <v>287.68656247249498</v>
      </c>
      <c r="M141" s="36">
        <v>334.60160189108643</v>
      </c>
      <c r="N141" s="36">
        <v>392.59045040438463</v>
      </c>
      <c r="O141" s="36">
        <v>448.32608947733871</v>
      </c>
      <c r="P141" s="36">
        <v>476.09527521763005</v>
      </c>
      <c r="Q141" s="36">
        <v>497.16462762947782</v>
      </c>
      <c r="R141" s="36">
        <v>448.25288252379573</v>
      </c>
      <c r="S141" s="36">
        <v>386.76742402333679</v>
      </c>
      <c r="T141" s="36">
        <v>320.50395443286266</v>
      </c>
      <c r="U141" s="93">
        <v>257.50965032503046</v>
      </c>
      <c r="V141" s="94"/>
      <c r="W141" s="94"/>
    </row>
    <row r="142" spans="1:23" x14ac:dyDescent="0.35">
      <c r="B142" s="89" t="s">
        <v>437</v>
      </c>
      <c r="C142" t="s">
        <v>388</v>
      </c>
      <c r="D142">
        <v>20</v>
      </c>
      <c r="E142">
        <v>65</v>
      </c>
      <c r="F142" t="s">
        <v>72</v>
      </c>
      <c r="G142" t="s">
        <v>117</v>
      </c>
      <c r="H142" t="s">
        <v>19</v>
      </c>
      <c r="I142" s="6" t="s">
        <v>12</v>
      </c>
      <c r="K142" s="39">
        <v>325.30711294966744</v>
      </c>
      <c r="L142" s="1">
        <v>356.96772327771561</v>
      </c>
      <c r="M142" s="1">
        <v>355.20740340244686</v>
      </c>
      <c r="N142" s="1">
        <v>339.74173592687129</v>
      </c>
      <c r="O142" s="1">
        <v>325.2819655228779</v>
      </c>
      <c r="P142" s="1">
        <v>309.0618752436157</v>
      </c>
      <c r="Q142" s="1">
        <v>290.20130515145036</v>
      </c>
      <c r="R142" s="1">
        <v>255.87506758370949</v>
      </c>
      <c r="S142" s="1">
        <v>209.85527655882612</v>
      </c>
      <c r="T142" s="1">
        <v>169.87086796343564</v>
      </c>
      <c r="U142" s="102">
        <v>133.91004765437376</v>
      </c>
      <c r="V142" s="91"/>
      <c r="W142" s="91"/>
    </row>
    <row r="143" spans="1:23" x14ac:dyDescent="0.35">
      <c r="B143" s="95" t="s">
        <v>437</v>
      </c>
      <c r="C143" s="96" t="s">
        <v>388</v>
      </c>
      <c r="D143" s="96">
        <v>20</v>
      </c>
      <c r="E143" s="96">
        <v>65</v>
      </c>
      <c r="F143" s="96" t="s">
        <v>72</v>
      </c>
      <c r="G143" s="96" t="s">
        <v>118</v>
      </c>
      <c r="H143" s="96" t="s">
        <v>19</v>
      </c>
      <c r="I143" s="97" t="s">
        <v>12</v>
      </c>
      <c r="J143" s="98"/>
      <c r="K143" s="103">
        <v>280.87859520885632</v>
      </c>
      <c r="L143" s="104">
        <v>392.13891438558551</v>
      </c>
      <c r="M143" s="104">
        <v>394.68886346204624</v>
      </c>
      <c r="N143" s="104">
        <v>386.01300121965022</v>
      </c>
      <c r="O143" s="104">
        <v>370.04438520828359</v>
      </c>
      <c r="P143" s="104">
        <v>360.61410016220088</v>
      </c>
      <c r="Q143" s="104">
        <v>340.24468446266235</v>
      </c>
      <c r="R143" s="104">
        <v>314.09136060152645</v>
      </c>
      <c r="S143" s="104">
        <v>279.01070023009896</v>
      </c>
      <c r="T143" s="104">
        <v>246.82199393947013</v>
      </c>
      <c r="U143" s="105">
        <v>221.04588148017754</v>
      </c>
      <c r="V143" s="106"/>
      <c r="W143" s="106"/>
    </row>
    <row r="144" spans="1:23" x14ac:dyDescent="0.35">
      <c r="A144">
        <v>9</v>
      </c>
      <c r="B144" s="89" t="s">
        <v>437</v>
      </c>
      <c r="C144" t="s">
        <v>372</v>
      </c>
      <c r="D144">
        <v>25</v>
      </c>
      <c r="E144">
        <v>60</v>
      </c>
      <c r="F144" t="s">
        <v>72</v>
      </c>
      <c r="G144" t="s">
        <v>44</v>
      </c>
      <c r="H144" t="s">
        <v>46</v>
      </c>
      <c r="I144" s="6" t="s">
        <v>12</v>
      </c>
      <c r="J144" s="7">
        <v>1.3109999999999999</v>
      </c>
      <c r="K144" s="89"/>
      <c r="U144" s="90"/>
      <c r="V144" s="91">
        <f>MAX(K144:U148)</f>
        <v>454.66547635513194</v>
      </c>
      <c r="W144" s="91" t="s">
        <v>413</v>
      </c>
    </row>
    <row r="145" spans="1:23" x14ac:dyDescent="0.35">
      <c r="B145" s="89" t="s">
        <v>437</v>
      </c>
      <c r="C145" t="s">
        <v>372</v>
      </c>
      <c r="D145">
        <v>25</v>
      </c>
      <c r="E145">
        <v>60</v>
      </c>
      <c r="F145" t="s">
        <v>72</v>
      </c>
      <c r="G145" t="s">
        <v>115</v>
      </c>
      <c r="H145" t="s">
        <v>19</v>
      </c>
      <c r="I145" s="6" t="s">
        <v>12</v>
      </c>
      <c r="K145" s="89"/>
      <c r="L145" s="36"/>
      <c r="M145" s="36"/>
      <c r="N145" s="36"/>
      <c r="O145" s="36"/>
      <c r="P145" s="36"/>
      <c r="Q145" s="36"/>
      <c r="R145" s="36"/>
      <c r="S145" s="36"/>
      <c r="T145" s="36"/>
      <c r="U145" s="93"/>
      <c r="V145" s="94"/>
      <c r="W145" s="94"/>
    </row>
    <row r="146" spans="1:23" x14ac:dyDescent="0.35">
      <c r="B146" s="89" t="s">
        <v>437</v>
      </c>
      <c r="C146" t="s">
        <v>372</v>
      </c>
      <c r="D146">
        <v>25</v>
      </c>
      <c r="E146">
        <v>60</v>
      </c>
      <c r="F146" t="s">
        <v>72</v>
      </c>
      <c r="G146" t="s">
        <v>116</v>
      </c>
      <c r="H146" t="s">
        <v>19</v>
      </c>
      <c r="I146" s="6" t="s">
        <v>12</v>
      </c>
      <c r="K146" s="40">
        <v>144.14002087236423</v>
      </c>
      <c r="L146" s="36">
        <v>281.72494582825146</v>
      </c>
      <c r="M146" s="36">
        <v>371.65549701793429</v>
      </c>
      <c r="N146" s="36">
        <v>426.40815111927003</v>
      </c>
      <c r="O146" s="36">
        <v>454.66547635513194</v>
      </c>
      <c r="P146" s="36">
        <v>454.28826495328866</v>
      </c>
      <c r="Q146" s="36">
        <v>417.69875897448793</v>
      </c>
      <c r="R146" s="36">
        <v>361.61999723378307</v>
      </c>
      <c r="S146" s="36">
        <v>262.91634708478455</v>
      </c>
      <c r="T146" s="36">
        <v>149.24997799600155</v>
      </c>
      <c r="U146" s="93">
        <v>44.259471149614612</v>
      </c>
      <c r="V146" s="94"/>
      <c r="W146" s="94"/>
    </row>
    <row r="147" spans="1:23" x14ac:dyDescent="0.35">
      <c r="B147" s="89" t="s">
        <v>437</v>
      </c>
      <c r="C147" t="s">
        <v>372</v>
      </c>
      <c r="D147">
        <v>25</v>
      </c>
      <c r="E147">
        <v>60</v>
      </c>
      <c r="F147" t="s">
        <v>72</v>
      </c>
      <c r="G147" t="s">
        <v>117</v>
      </c>
      <c r="H147" t="s">
        <v>19</v>
      </c>
      <c r="I147" s="6" t="s">
        <v>12</v>
      </c>
      <c r="K147" s="39">
        <v>193.94449962907544</v>
      </c>
      <c r="L147" s="1">
        <v>370.99244319824976</v>
      </c>
      <c r="M147" s="1">
        <v>360.73983729614866</v>
      </c>
      <c r="N147" s="1">
        <v>348.79480957111065</v>
      </c>
      <c r="O147" s="1">
        <v>341.62779293608781</v>
      </c>
      <c r="P147" s="1">
        <v>326.79081113025109</v>
      </c>
      <c r="Q147" s="1">
        <v>314.97152053916085</v>
      </c>
      <c r="R147" s="1">
        <v>282.53133998063646</v>
      </c>
      <c r="S147" s="1">
        <v>246.31904540367907</v>
      </c>
      <c r="T147" s="1">
        <v>216.64508179200564</v>
      </c>
      <c r="U147" s="102">
        <v>181.56442142057813</v>
      </c>
      <c r="V147" s="91"/>
      <c r="W147" s="91"/>
    </row>
    <row r="148" spans="1:23" x14ac:dyDescent="0.35">
      <c r="B148" s="95" t="s">
        <v>437</v>
      </c>
      <c r="C148" s="96" t="s">
        <v>372</v>
      </c>
      <c r="D148" s="96">
        <v>25</v>
      </c>
      <c r="E148" s="96">
        <v>60</v>
      </c>
      <c r="F148" s="96" t="s">
        <v>72</v>
      </c>
      <c r="G148" s="96" t="s">
        <v>118</v>
      </c>
      <c r="H148" s="96" t="s">
        <v>19</v>
      </c>
      <c r="I148" s="97" t="s">
        <v>12</v>
      </c>
      <c r="J148" s="98"/>
      <c r="K148" s="103">
        <v>198.63197998264826</v>
      </c>
      <c r="L148" s="104">
        <v>370.99244319824976</v>
      </c>
      <c r="M148" s="104">
        <v>373.31355069092552</v>
      </c>
      <c r="N148" s="104">
        <v>376.83419044146308</v>
      </c>
      <c r="O148" s="104">
        <v>376.07976763777646</v>
      </c>
      <c r="P148" s="104">
        <v>371.30175654776127</v>
      </c>
      <c r="Q148" s="104">
        <v>361.87147150167857</v>
      </c>
      <c r="R148" s="104">
        <v>242.1697199834027</v>
      </c>
      <c r="S148" s="104">
        <v>111.78031207956646</v>
      </c>
      <c r="T148" s="104">
        <v>40.61309426512932</v>
      </c>
      <c r="U148" s="105">
        <v>0</v>
      </c>
      <c r="V148" s="106"/>
      <c r="W148" s="106"/>
    </row>
    <row r="149" spans="1:23" x14ac:dyDescent="0.35">
      <c r="A149">
        <v>9</v>
      </c>
      <c r="B149" s="89" t="s">
        <v>437</v>
      </c>
      <c r="C149" t="s">
        <v>372</v>
      </c>
      <c r="D149">
        <v>25</v>
      </c>
      <c r="E149">
        <v>65</v>
      </c>
      <c r="F149" t="s">
        <v>72</v>
      </c>
      <c r="G149" t="s">
        <v>44</v>
      </c>
      <c r="H149" t="s">
        <v>46</v>
      </c>
      <c r="I149" s="6" t="s">
        <v>12</v>
      </c>
      <c r="J149" s="7">
        <v>1.528</v>
      </c>
      <c r="K149" s="89"/>
      <c r="U149" s="90"/>
      <c r="V149" s="91">
        <f>MAX(K149:U153)</f>
        <v>452.52794507801991</v>
      </c>
      <c r="W149" s="91" t="s">
        <v>413</v>
      </c>
    </row>
    <row r="150" spans="1:23" x14ac:dyDescent="0.35">
      <c r="B150" s="89" t="s">
        <v>437</v>
      </c>
      <c r="C150" t="s">
        <v>372</v>
      </c>
      <c r="D150">
        <v>25</v>
      </c>
      <c r="E150">
        <v>65</v>
      </c>
      <c r="F150" t="s">
        <v>72</v>
      </c>
      <c r="G150" t="s">
        <v>115</v>
      </c>
      <c r="H150" t="s">
        <v>19</v>
      </c>
      <c r="I150" s="6" t="s">
        <v>12</v>
      </c>
      <c r="K150" s="89"/>
      <c r="L150" s="36"/>
      <c r="M150" s="36"/>
      <c r="N150" s="36"/>
      <c r="O150" s="36"/>
      <c r="P150" s="36"/>
      <c r="Q150" s="36"/>
      <c r="R150" s="36"/>
      <c r="S150" s="36"/>
      <c r="T150" s="36"/>
      <c r="U150" s="93"/>
      <c r="V150" s="94"/>
      <c r="W150" s="94"/>
    </row>
    <row r="151" spans="1:23" x14ac:dyDescent="0.35">
      <c r="B151" s="89" t="s">
        <v>437</v>
      </c>
      <c r="C151" t="s">
        <v>372</v>
      </c>
      <c r="D151">
        <v>25</v>
      </c>
      <c r="E151">
        <v>65</v>
      </c>
      <c r="F151" t="s">
        <v>72</v>
      </c>
      <c r="G151" t="s">
        <v>116</v>
      </c>
      <c r="H151" t="s">
        <v>19</v>
      </c>
      <c r="I151" s="6" t="s">
        <v>12</v>
      </c>
      <c r="K151" s="40">
        <v>160.57805551713585</v>
      </c>
      <c r="L151" s="36">
        <v>288.47730933709983</v>
      </c>
      <c r="M151" s="36">
        <v>374.10317989211751</v>
      </c>
      <c r="N151" s="36">
        <v>441.23982402389566</v>
      </c>
      <c r="O151" s="36">
        <v>452.52794507801991</v>
      </c>
      <c r="P151" s="36">
        <v>441.21160302272068</v>
      </c>
      <c r="Q151" s="36">
        <v>413.92664495605487</v>
      </c>
      <c r="R151" s="36">
        <v>321.00690296865372</v>
      </c>
      <c r="S151" s="36">
        <v>221.5488300159686</v>
      </c>
      <c r="T151" s="36">
        <v>86.758622423960475</v>
      </c>
      <c r="U151" s="93">
        <v>46.397002426726687</v>
      </c>
      <c r="V151" s="94"/>
      <c r="W151" s="94"/>
    </row>
    <row r="152" spans="1:23" x14ac:dyDescent="0.35">
      <c r="B152" s="89" t="s">
        <v>437</v>
      </c>
      <c r="C152" t="s">
        <v>372</v>
      </c>
      <c r="D152">
        <v>25</v>
      </c>
      <c r="E152">
        <v>65</v>
      </c>
      <c r="F152" t="s">
        <v>72</v>
      </c>
      <c r="G152" t="s">
        <v>117</v>
      </c>
      <c r="H152" t="s">
        <v>19</v>
      </c>
      <c r="I152" s="6" t="s">
        <v>12</v>
      </c>
      <c r="K152" s="39">
        <v>243.12420453799282</v>
      </c>
      <c r="L152" s="1">
        <v>353.69855779507361</v>
      </c>
      <c r="M152" s="1">
        <v>349.29775810690171</v>
      </c>
      <c r="N152" s="1">
        <v>348.92054670505843</v>
      </c>
      <c r="O152" s="1">
        <v>329.9342394789453</v>
      </c>
      <c r="P152" s="1">
        <v>321.1326401026015</v>
      </c>
      <c r="Q152" s="1">
        <v>310.82219511888445</v>
      </c>
      <c r="R152" s="1">
        <v>281.77691717694989</v>
      </c>
      <c r="S152" s="1">
        <v>249.71394802026882</v>
      </c>
      <c r="T152" s="1">
        <v>207.96921954960959</v>
      </c>
      <c r="U152" s="102">
        <v>178.16951880398838</v>
      </c>
      <c r="V152" s="91"/>
      <c r="W152" s="91"/>
    </row>
    <row r="153" spans="1:23" x14ac:dyDescent="0.35">
      <c r="B153" s="95" t="s">
        <v>437</v>
      </c>
      <c r="C153" s="96" t="s">
        <v>372</v>
      </c>
      <c r="D153" s="96">
        <v>25</v>
      </c>
      <c r="E153" s="96">
        <v>65</v>
      </c>
      <c r="F153" s="96" t="s">
        <v>72</v>
      </c>
      <c r="G153" s="96" t="s">
        <v>118</v>
      </c>
      <c r="H153" s="96" t="s">
        <v>19</v>
      </c>
      <c r="I153" s="97" t="s">
        <v>12</v>
      </c>
      <c r="J153" s="98"/>
      <c r="K153" s="103">
        <v>237.32017843496385</v>
      </c>
      <c r="L153" s="104">
        <v>366.14653405590275</v>
      </c>
      <c r="M153" s="104">
        <v>378.34303604883632</v>
      </c>
      <c r="N153" s="104">
        <v>376.07976763777646</v>
      </c>
      <c r="O153" s="104">
        <v>374.57092203040321</v>
      </c>
      <c r="P153" s="104">
        <v>368.53553960091034</v>
      </c>
      <c r="Q153" s="104">
        <v>354.07576919691689</v>
      </c>
      <c r="R153" s="104">
        <v>178.54673020583169</v>
      </c>
      <c r="S153" s="104">
        <v>45.139631087248993</v>
      </c>
      <c r="T153" s="104">
        <v>1</v>
      </c>
      <c r="U153" s="105"/>
      <c r="V153" s="106"/>
      <c r="W153" s="106"/>
    </row>
    <row r="154" spans="1:23" x14ac:dyDescent="0.35">
      <c r="A154">
        <v>10</v>
      </c>
      <c r="B154" s="89" t="s">
        <v>438</v>
      </c>
      <c r="C154" t="s">
        <v>369</v>
      </c>
      <c r="D154">
        <v>12</v>
      </c>
      <c r="E154">
        <v>65</v>
      </c>
      <c r="F154" t="s">
        <v>75</v>
      </c>
      <c r="G154" t="s">
        <v>44</v>
      </c>
      <c r="H154" t="s">
        <v>46</v>
      </c>
      <c r="I154" s="6" t="s">
        <v>21</v>
      </c>
      <c r="J154" s="7">
        <v>2.3359999999999999</v>
      </c>
      <c r="K154" s="39"/>
      <c r="L154" s="1"/>
      <c r="M154" s="1"/>
      <c r="N154" s="1"/>
      <c r="O154" s="1"/>
      <c r="P154" s="1"/>
      <c r="Q154" s="1"/>
      <c r="R154" s="1"/>
      <c r="S154" s="1"/>
      <c r="T154" s="1"/>
      <c r="U154" s="102"/>
      <c r="V154" s="91">
        <f>MAX(K154:U158)</f>
        <v>449.47506561679785</v>
      </c>
      <c r="W154" s="91" t="s">
        <v>413</v>
      </c>
    </row>
    <row r="155" spans="1:23" x14ac:dyDescent="0.35">
      <c r="B155" s="89" t="s">
        <v>438</v>
      </c>
      <c r="C155" t="s">
        <v>369</v>
      </c>
      <c r="D155">
        <v>12</v>
      </c>
      <c r="E155">
        <v>65</v>
      </c>
      <c r="F155" t="s">
        <v>75</v>
      </c>
      <c r="G155" t="s">
        <v>115</v>
      </c>
      <c r="H155" t="s">
        <v>19</v>
      </c>
      <c r="I155" s="6" t="s">
        <v>21</v>
      </c>
      <c r="K155" s="39"/>
      <c r="L155" s="1"/>
      <c r="M155" s="1"/>
      <c r="N155" s="1"/>
      <c r="O155" s="1"/>
      <c r="P155" s="1"/>
      <c r="Q155" s="1"/>
      <c r="R155" s="1"/>
      <c r="S155" s="1"/>
      <c r="T155" s="1"/>
      <c r="U155" s="102"/>
      <c r="V155" s="91"/>
      <c r="W155" s="91"/>
    </row>
    <row r="156" spans="1:23" x14ac:dyDescent="0.35">
      <c r="B156" s="89" t="s">
        <v>438</v>
      </c>
      <c r="C156" t="s">
        <v>369</v>
      </c>
      <c r="D156">
        <v>12</v>
      </c>
      <c r="E156">
        <v>65</v>
      </c>
      <c r="F156" t="s">
        <v>75</v>
      </c>
      <c r="G156" t="s">
        <v>116</v>
      </c>
      <c r="H156" t="s">
        <v>19</v>
      </c>
      <c r="I156" s="6" t="s">
        <v>21</v>
      </c>
      <c r="K156" s="39">
        <v>316.60104986876638</v>
      </c>
      <c r="L156" s="1">
        <v>306.46027201145307</v>
      </c>
      <c r="M156" s="1">
        <v>290.6525888809353</v>
      </c>
      <c r="N156" s="1">
        <v>278.87139107611546</v>
      </c>
      <c r="O156" s="1">
        <v>252.32641374373657</v>
      </c>
      <c r="P156" s="1">
        <v>237.11524695776663</v>
      </c>
      <c r="Q156" s="1">
        <v>221.75495108565974</v>
      </c>
      <c r="R156" s="1">
        <v>166.87544738725839</v>
      </c>
      <c r="S156" s="1">
        <v>128.54927225005963</v>
      </c>
      <c r="T156" s="1">
        <v>68.748508709138619</v>
      </c>
      <c r="U156" s="102"/>
      <c r="V156" s="91"/>
      <c r="W156" s="91"/>
    </row>
    <row r="157" spans="1:23" x14ac:dyDescent="0.35">
      <c r="B157" s="89" t="s">
        <v>438</v>
      </c>
      <c r="C157" t="s">
        <v>369</v>
      </c>
      <c r="D157">
        <v>12</v>
      </c>
      <c r="E157">
        <v>65</v>
      </c>
      <c r="F157" t="s">
        <v>75</v>
      </c>
      <c r="G157" t="s">
        <v>117</v>
      </c>
      <c r="H157" t="s">
        <v>19</v>
      </c>
      <c r="I157" s="6" t="s">
        <v>21</v>
      </c>
      <c r="K157" s="39">
        <v>449.47506561679785</v>
      </c>
      <c r="L157" s="1">
        <v>441.86948222381289</v>
      </c>
      <c r="M157" s="1">
        <v>441.72035313767594</v>
      </c>
      <c r="N157" s="1">
        <v>434.86041517537575</v>
      </c>
      <c r="O157" s="1">
        <v>423.97399188737768</v>
      </c>
      <c r="P157" s="1">
        <v>410.99976139346217</v>
      </c>
      <c r="Q157" s="1">
        <v>400.411596277738</v>
      </c>
      <c r="R157" s="1">
        <v>354.92722500596511</v>
      </c>
      <c r="S157" s="1">
        <v>339.7160582199952</v>
      </c>
      <c r="T157" s="1">
        <v>320.1801479360534</v>
      </c>
      <c r="U157" s="102">
        <v>304.52159389167264</v>
      </c>
      <c r="V157" s="91"/>
      <c r="W157" s="91"/>
    </row>
    <row r="158" spans="1:23" x14ac:dyDescent="0.35">
      <c r="B158" s="95" t="s">
        <v>438</v>
      </c>
      <c r="C158" s="96" t="s">
        <v>369</v>
      </c>
      <c r="D158" s="96">
        <v>12</v>
      </c>
      <c r="E158" s="96">
        <v>65</v>
      </c>
      <c r="F158" s="96" t="s">
        <v>75</v>
      </c>
      <c r="G158" s="96" t="s">
        <v>118</v>
      </c>
      <c r="H158" s="96" t="s">
        <v>19</v>
      </c>
      <c r="I158" s="97" t="s">
        <v>21</v>
      </c>
      <c r="J158" s="98"/>
      <c r="K158" s="103">
        <v>384.75304223335718</v>
      </c>
      <c r="L158" s="104">
        <v>367.45406824146977</v>
      </c>
      <c r="M158" s="104">
        <v>360.89238845144354</v>
      </c>
      <c r="N158" s="104">
        <v>347.91815795752802</v>
      </c>
      <c r="O158" s="104">
        <v>330.61918396564062</v>
      </c>
      <c r="P158" s="104">
        <v>313.46933905989022</v>
      </c>
      <c r="Q158" s="104">
        <v>283.1961345740873</v>
      </c>
      <c r="R158" s="104">
        <v>208.92984967788115</v>
      </c>
      <c r="S158" s="104">
        <v>144.0586972083035</v>
      </c>
      <c r="T158" s="104">
        <v>98.574325936530656</v>
      </c>
      <c r="U158" s="105">
        <v>69.046766881412552</v>
      </c>
      <c r="V158" s="106"/>
      <c r="W158" s="106"/>
    </row>
    <row r="159" spans="1:23" x14ac:dyDescent="0.35">
      <c r="A159">
        <v>10</v>
      </c>
      <c r="B159" s="89" t="s">
        <v>438</v>
      </c>
      <c r="C159" t="s">
        <v>372</v>
      </c>
      <c r="D159">
        <v>25</v>
      </c>
      <c r="E159">
        <v>65</v>
      </c>
      <c r="F159" t="s">
        <v>75</v>
      </c>
      <c r="G159" t="s">
        <v>44</v>
      </c>
      <c r="H159" t="s">
        <v>46</v>
      </c>
      <c r="I159" s="6" t="s">
        <v>14</v>
      </c>
      <c r="J159" s="7">
        <v>1.5620000000000001</v>
      </c>
      <c r="K159" s="39"/>
      <c r="L159" s="1"/>
      <c r="M159" s="1"/>
      <c r="N159" s="1"/>
      <c r="O159" s="1"/>
      <c r="P159" s="1"/>
      <c r="Q159" s="1"/>
      <c r="R159" s="1"/>
      <c r="S159" s="1"/>
      <c r="T159" s="1"/>
      <c r="U159" s="102"/>
      <c r="V159" s="91">
        <f>MAX(K159:U163)</f>
        <v>437.24648055356715</v>
      </c>
      <c r="W159" s="91" t="s">
        <v>413</v>
      </c>
    </row>
    <row r="160" spans="1:23" x14ac:dyDescent="0.35">
      <c r="B160" s="89" t="s">
        <v>438</v>
      </c>
      <c r="C160" t="s">
        <v>372</v>
      </c>
      <c r="D160">
        <v>25</v>
      </c>
      <c r="E160">
        <v>65</v>
      </c>
      <c r="F160" t="s">
        <v>75</v>
      </c>
      <c r="G160" t="s">
        <v>115</v>
      </c>
      <c r="H160" t="s">
        <v>19</v>
      </c>
      <c r="I160" s="6" t="s">
        <v>14</v>
      </c>
      <c r="K160" s="39" t="s">
        <v>139</v>
      </c>
      <c r="L160" s="1"/>
      <c r="M160" s="1"/>
      <c r="N160" s="1"/>
      <c r="O160" s="1"/>
      <c r="P160" s="1"/>
      <c r="Q160" s="1"/>
      <c r="R160" s="1"/>
      <c r="S160" s="1"/>
      <c r="T160" s="1"/>
      <c r="U160" s="102"/>
      <c r="V160" s="91"/>
      <c r="W160" s="91"/>
    </row>
    <row r="161" spans="1:23" x14ac:dyDescent="0.35">
      <c r="B161" s="89" t="s">
        <v>438</v>
      </c>
      <c r="C161" t="s">
        <v>372</v>
      </c>
      <c r="D161">
        <v>25</v>
      </c>
      <c r="E161">
        <v>65</v>
      </c>
      <c r="F161" t="s">
        <v>75</v>
      </c>
      <c r="G161" t="s">
        <v>116</v>
      </c>
      <c r="H161" t="s">
        <v>19</v>
      </c>
      <c r="I161" s="6" t="s">
        <v>14</v>
      </c>
      <c r="K161" s="39">
        <v>318.09234073013596</v>
      </c>
      <c r="L161" s="1">
        <v>295.42471963731805</v>
      </c>
      <c r="M161" s="1">
        <v>261.87067525650201</v>
      </c>
      <c r="N161" s="1">
        <v>232.49224528752086</v>
      </c>
      <c r="O161" s="1">
        <v>197.74516821760915</v>
      </c>
      <c r="P161" s="1">
        <v>169.41064185158672</v>
      </c>
      <c r="Q161" s="1">
        <v>145.40085898353615</v>
      </c>
      <c r="R161" s="1">
        <v>66.362443330947258</v>
      </c>
      <c r="S161" s="1"/>
      <c r="T161" s="1"/>
      <c r="U161" s="102"/>
      <c r="V161" s="91"/>
      <c r="W161" s="91"/>
    </row>
    <row r="162" spans="1:23" x14ac:dyDescent="0.35">
      <c r="B162" s="89" t="s">
        <v>438</v>
      </c>
      <c r="C162" t="s">
        <v>372</v>
      </c>
      <c r="D162">
        <v>25</v>
      </c>
      <c r="E162">
        <v>65</v>
      </c>
      <c r="F162" t="s">
        <v>75</v>
      </c>
      <c r="G162" t="s">
        <v>117</v>
      </c>
      <c r="H162" t="s">
        <v>19</v>
      </c>
      <c r="I162" s="6" t="s">
        <v>14</v>
      </c>
      <c r="K162" s="39">
        <v>427.40396086852775</v>
      </c>
      <c r="L162" s="1">
        <v>432.1760916249105</v>
      </c>
      <c r="M162" s="1">
        <v>433.21999522786922</v>
      </c>
      <c r="N162" s="1">
        <v>433.81651157241703</v>
      </c>
      <c r="O162" s="1">
        <v>437.24648055356715</v>
      </c>
      <c r="P162" s="1">
        <v>436.20257695060843</v>
      </c>
      <c r="Q162" s="1">
        <v>431.28131710808873</v>
      </c>
      <c r="R162" s="1">
        <v>430.68480076354092</v>
      </c>
      <c r="S162" s="1">
        <v>431.72870436649958</v>
      </c>
      <c r="T162" s="1">
        <v>427.85134812693866</v>
      </c>
      <c r="U162" s="102">
        <v>419.64924838940584</v>
      </c>
      <c r="V162" s="91"/>
      <c r="W162" s="91"/>
    </row>
    <row r="163" spans="1:23" x14ac:dyDescent="0.35">
      <c r="B163" s="95" t="s">
        <v>438</v>
      </c>
      <c r="C163" s="96" t="s">
        <v>372</v>
      </c>
      <c r="D163" s="96">
        <v>25</v>
      </c>
      <c r="E163" s="96">
        <v>65</v>
      </c>
      <c r="F163" s="96" t="s">
        <v>75</v>
      </c>
      <c r="G163" s="96" t="s">
        <v>118</v>
      </c>
      <c r="H163" s="96" t="s">
        <v>19</v>
      </c>
      <c r="I163" s="97" t="s">
        <v>14</v>
      </c>
      <c r="J163" s="98"/>
      <c r="K163" s="103">
        <v>376.40181340968741</v>
      </c>
      <c r="L163" s="104">
        <v>367.60319732760678</v>
      </c>
      <c r="M163" s="104">
        <v>352.69028871391072</v>
      </c>
      <c r="N163" s="104">
        <v>325.25053686471006</v>
      </c>
      <c r="O163" s="104">
        <v>302.58291577189215</v>
      </c>
      <c r="P163" s="104">
        <v>269.62538773562392</v>
      </c>
      <c r="Q163" s="104">
        <v>239.79957050823191</v>
      </c>
      <c r="R163" s="104">
        <v>189.99045573848721</v>
      </c>
      <c r="S163" s="104">
        <v>146.14650441422094</v>
      </c>
      <c r="T163" s="104">
        <v>85.152708184204243</v>
      </c>
      <c r="U163" s="105">
        <v>40.413982343116196</v>
      </c>
      <c r="V163" s="106"/>
      <c r="W163" s="106"/>
    </row>
    <row r="164" spans="1:23" x14ac:dyDescent="0.35">
      <c r="A164">
        <v>11</v>
      </c>
      <c r="B164" s="89" t="s">
        <v>439</v>
      </c>
      <c r="C164" t="s">
        <v>369</v>
      </c>
      <c r="D164">
        <v>12</v>
      </c>
      <c r="E164">
        <v>65</v>
      </c>
      <c r="F164" t="s">
        <v>75</v>
      </c>
      <c r="G164" t="s">
        <v>44</v>
      </c>
      <c r="H164" t="s">
        <v>46</v>
      </c>
      <c r="I164" s="6" t="s">
        <v>20</v>
      </c>
      <c r="J164" s="7">
        <v>2.173</v>
      </c>
      <c r="K164" s="39"/>
      <c r="L164" s="1"/>
      <c r="M164" s="1"/>
      <c r="N164" s="1"/>
      <c r="O164" s="1"/>
      <c r="P164" s="1"/>
      <c r="Q164" s="1"/>
      <c r="R164" s="1"/>
      <c r="S164" s="1"/>
      <c r="T164" s="1"/>
      <c r="U164" s="102"/>
      <c r="V164" s="91">
        <f>MAX(K164:U168)</f>
        <v>468.42774828663966</v>
      </c>
      <c r="W164" s="91" t="s">
        <v>413</v>
      </c>
    </row>
    <row r="165" spans="1:23" x14ac:dyDescent="0.35">
      <c r="B165" s="89" t="s">
        <v>439</v>
      </c>
      <c r="C165" t="s">
        <v>369</v>
      </c>
      <c r="D165">
        <v>12</v>
      </c>
      <c r="E165">
        <v>65</v>
      </c>
      <c r="F165" t="s">
        <v>75</v>
      </c>
      <c r="G165" t="s">
        <v>115</v>
      </c>
      <c r="H165" t="s">
        <v>19</v>
      </c>
      <c r="I165" s="6" t="s">
        <v>20</v>
      </c>
      <c r="K165" s="39"/>
      <c r="L165" s="1"/>
      <c r="M165" s="1"/>
      <c r="N165" s="1"/>
      <c r="O165" s="1"/>
      <c r="P165" s="1"/>
      <c r="Q165" s="1"/>
      <c r="R165" s="1"/>
      <c r="S165" s="1"/>
      <c r="T165" s="1"/>
      <c r="U165" s="102"/>
      <c r="V165" s="91"/>
      <c r="W165" s="91"/>
    </row>
    <row r="166" spans="1:23" x14ac:dyDescent="0.35">
      <c r="B166" s="89" t="s">
        <v>439</v>
      </c>
      <c r="C166" t="s">
        <v>369</v>
      </c>
      <c r="D166">
        <v>12</v>
      </c>
      <c r="E166">
        <v>65</v>
      </c>
      <c r="F166" t="s">
        <v>75</v>
      </c>
      <c r="G166" t="s">
        <v>116</v>
      </c>
      <c r="H166" t="s">
        <v>19</v>
      </c>
      <c r="I166" s="6" t="s">
        <v>20</v>
      </c>
      <c r="K166" s="39">
        <v>359.84848484848482</v>
      </c>
      <c r="L166" s="1">
        <v>348.66380338821284</v>
      </c>
      <c r="M166" s="1">
        <v>335.24218563588641</v>
      </c>
      <c r="N166" s="1">
        <v>326.14531138153183</v>
      </c>
      <c r="O166" s="1">
        <v>311.67979002624668</v>
      </c>
      <c r="P166" s="1">
        <v>308.39895013123356</v>
      </c>
      <c r="Q166" s="1">
        <v>274.69577666428057</v>
      </c>
      <c r="R166" s="1"/>
      <c r="S166" s="1"/>
      <c r="T166" s="1"/>
      <c r="U166" s="102"/>
      <c r="V166" s="91"/>
      <c r="W166" s="91"/>
    </row>
    <row r="167" spans="1:23" x14ac:dyDescent="0.35">
      <c r="B167" s="89" t="s">
        <v>439</v>
      </c>
      <c r="C167" t="s">
        <v>369</v>
      </c>
      <c r="D167">
        <v>12</v>
      </c>
      <c r="E167">
        <v>65</v>
      </c>
      <c r="F167" t="s">
        <v>75</v>
      </c>
      <c r="G167" t="s">
        <v>117</v>
      </c>
      <c r="H167" t="s">
        <v>19</v>
      </c>
      <c r="I167" s="6" t="s">
        <v>20</v>
      </c>
      <c r="K167" s="39">
        <v>468.42774828663966</v>
      </c>
      <c r="L167" s="1">
        <v>467.48433841624501</v>
      </c>
      <c r="M167" s="1">
        <v>452.45764733953706</v>
      </c>
      <c r="N167" s="1">
        <v>443.80816034359339</v>
      </c>
      <c r="O167" s="1">
        <v>434.26389883082794</v>
      </c>
      <c r="P167" s="1">
        <v>423.22834645669286</v>
      </c>
      <c r="Q167" s="1">
        <v>414.72798854688614</v>
      </c>
      <c r="R167" s="1"/>
      <c r="S167" s="1"/>
      <c r="T167" s="1"/>
      <c r="U167" s="102"/>
      <c r="V167" s="91"/>
      <c r="W167" s="91"/>
    </row>
    <row r="168" spans="1:23" x14ac:dyDescent="0.35">
      <c r="B168" s="95" t="s">
        <v>439</v>
      </c>
      <c r="C168" s="96" t="s">
        <v>369</v>
      </c>
      <c r="D168" s="96">
        <v>12</v>
      </c>
      <c r="E168" s="96">
        <v>65</v>
      </c>
      <c r="F168" s="96" t="s">
        <v>75</v>
      </c>
      <c r="G168" s="96" t="s">
        <v>118</v>
      </c>
      <c r="H168" s="96" t="s">
        <v>19</v>
      </c>
      <c r="I168" s="97" t="s">
        <v>20</v>
      </c>
      <c r="J168" s="98"/>
      <c r="K168" s="103">
        <v>292.59126700071579</v>
      </c>
      <c r="L168" s="104">
        <v>289.01216893342877</v>
      </c>
      <c r="M168" s="104">
        <v>279.46790742066332</v>
      </c>
      <c r="N168" s="104">
        <v>280.21355285134808</v>
      </c>
      <c r="O168" s="104">
        <v>278.27487473156765</v>
      </c>
      <c r="P168" s="104">
        <v>280.51181102362204</v>
      </c>
      <c r="Q168" s="104">
        <v>320.62753519446431</v>
      </c>
      <c r="R168" s="104"/>
      <c r="S168" s="104"/>
      <c r="T168" s="104"/>
      <c r="U168" s="105"/>
      <c r="V168" s="106"/>
      <c r="W168" s="106"/>
    </row>
    <row r="169" spans="1:23" x14ac:dyDescent="0.35">
      <c r="A169">
        <v>12</v>
      </c>
      <c r="B169" s="89" t="s">
        <v>440</v>
      </c>
      <c r="C169" t="s">
        <v>372</v>
      </c>
      <c r="D169">
        <v>25</v>
      </c>
      <c r="E169">
        <v>65</v>
      </c>
      <c r="F169" t="s">
        <v>75</v>
      </c>
      <c r="G169" t="s">
        <v>44</v>
      </c>
      <c r="H169" t="s">
        <v>46</v>
      </c>
      <c r="I169" s="6" t="s">
        <v>20</v>
      </c>
      <c r="J169" s="7">
        <v>1.843</v>
      </c>
      <c r="K169" s="39"/>
      <c r="L169" s="1"/>
      <c r="M169" s="1"/>
      <c r="N169" s="1"/>
      <c r="O169" s="1"/>
      <c r="P169" s="1"/>
      <c r="Q169" s="1"/>
      <c r="R169" s="1"/>
      <c r="S169" s="1"/>
      <c r="T169" s="36"/>
      <c r="U169" s="93"/>
      <c r="V169" s="91">
        <f>MAX(K169:U173)</f>
        <v>463.41205445507148</v>
      </c>
      <c r="W169" s="91" t="s">
        <v>413</v>
      </c>
    </row>
    <row r="170" spans="1:23" x14ac:dyDescent="0.35">
      <c r="B170" s="89" t="s">
        <v>440</v>
      </c>
      <c r="C170" t="s">
        <v>372</v>
      </c>
      <c r="D170">
        <v>25</v>
      </c>
      <c r="E170">
        <v>65</v>
      </c>
      <c r="F170" t="s">
        <v>75</v>
      </c>
      <c r="G170" t="s">
        <v>115</v>
      </c>
      <c r="H170" t="s">
        <v>19</v>
      </c>
      <c r="I170" s="6" t="s">
        <v>20</v>
      </c>
      <c r="J170" s="1"/>
      <c r="K170" s="39"/>
      <c r="L170" s="1"/>
      <c r="M170" s="1"/>
      <c r="N170" s="1"/>
      <c r="O170" s="1"/>
      <c r="P170" s="1"/>
      <c r="Q170" s="1"/>
      <c r="R170" s="1"/>
      <c r="S170" s="1"/>
      <c r="T170" s="36"/>
      <c r="U170" s="93"/>
      <c r="V170" s="94"/>
      <c r="W170" s="94"/>
    </row>
    <row r="171" spans="1:23" x14ac:dyDescent="0.35">
      <c r="B171" s="89" t="s">
        <v>440</v>
      </c>
      <c r="C171" t="s">
        <v>372</v>
      </c>
      <c r="D171">
        <v>25</v>
      </c>
      <c r="E171">
        <v>65</v>
      </c>
      <c r="F171" t="s">
        <v>75</v>
      </c>
      <c r="G171" t="s">
        <v>116</v>
      </c>
      <c r="H171" t="s">
        <v>19</v>
      </c>
      <c r="I171" s="6" t="s">
        <v>20</v>
      </c>
      <c r="J171" s="1"/>
      <c r="K171" s="39">
        <v>358.85348201199702</v>
      </c>
      <c r="L171" s="1">
        <v>369.73240862457124</v>
      </c>
      <c r="M171" s="1">
        <v>364.74623392714136</v>
      </c>
      <c r="N171" s="1">
        <v>362.32869467990264</v>
      </c>
      <c r="O171" s="1">
        <v>353.11182629980505</v>
      </c>
      <c r="P171" s="1">
        <v>347.06797818170827</v>
      </c>
      <c r="Q171" s="1">
        <v>339.81536043999211</v>
      </c>
      <c r="R171" s="1">
        <v>333.31822371303804</v>
      </c>
      <c r="S171" s="1">
        <v>320.0217578532251</v>
      </c>
      <c r="T171" s="36">
        <v>310.95598567607993</v>
      </c>
      <c r="U171" s="93">
        <v>295.24198056902827</v>
      </c>
      <c r="V171" s="94"/>
      <c r="W171" s="94"/>
    </row>
    <row r="172" spans="1:23" x14ac:dyDescent="0.35">
      <c r="B172" s="89" t="s">
        <v>440</v>
      </c>
      <c r="C172" t="s">
        <v>372</v>
      </c>
      <c r="D172">
        <v>25</v>
      </c>
      <c r="E172">
        <v>65</v>
      </c>
      <c r="F172" t="s">
        <v>75</v>
      </c>
      <c r="G172" t="s">
        <v>117</v>
      </c>
      <c r="H172" t="s">
        <v>19</v>
      </c>
      <c r="I172" s="6" t="s">
        <v>20</v>
      </c>
      <c r="J172" s="1"/>
      <c r="K172" s="39">
        <v>445.58270250668596</v>
      </c>
      <c r="L172" s="1">
        <v>439.99214299744642</v>
      </c>
      <c r="M172" s="1">
        <v>440.59652780925614</v>
      </c>
      <c r="N172" s="1">
        <v>443.76954807125691</v>
      </c>
      <c r="O172" s="1">
        <v>440.74762401220852</v>
      </c>
      <c r="P172" s="1">
        <v>441.65420122992305</v>
      </c>
      <c r="Q172" s="1">
        <v>441.95639363582791</v>
      </c>
      <c r="R172" s="1">
        <v>442.71187465059</v>
      </c>
      <c r="S172" s="1">
        <v>440.44543160630371</v>
      </c>
      <c r="T172" s="36">
        <v>437.72569995316013</v>
      </c>
      <c r="U172" s="93">
        <v>435.0059683000166</v>
      </c>
      <c r="V172" s="94"/>
      <c r="W172" s="94"/>
    </row>
    <row r="173" spans="1:23" x14ac:dyDescent="0.35">
      <c r="B173" s="95" t="s">
        <v>440</v>
      </c>
      <c r="C173" s="96" t="s">
        <v>372</v>
      </c>
      <c r="D173" s="96">
        <v>25</v>
      </c>
      <c r="E173" s="96">
        <v>65</v>
      </c>
      <c r="F173" s="96" t="s">
        <v>75</v>
      </c>
      <c r="G173" s="96" t="s">
        <v>118</v>
      </c>
      <c r="H173" s="96" t="s">
        <v>19</v>
      </c>
      <c r="I173" s="97" t="s">
        <v>20</v>
      </c>
      <c r="J173" s="107"/>
      <c r="K173" s="103">
        <v>463.41205445507148</v>
      </c>
      <c r="L173" s="104">
        <v>460.23903419307067</v>
      </c>
      <c r="M173" s="104">
        <v>459.634649381261</v>
      </c>
      <c r="N173" s="104">
        <v>462.65657344030939</v>
      </c>
      <c r="O173" s="104">
        <v>459.78574558421343</v>
      </c>
      <c r="P173" s="104">
        <v>460.3901303960231</v>
      </c>
      <c r="Q173" s="104">
        <v>458.72807216354647</v>
      </c>
      <c r="R173" s="104">
        <v>451.77764682773517</v>
      </c>
      <c r="S173" s="104">
        <v>453.89299366906909</v>
      </c>
      <c r="T173" s="104">
        <v>453.28860885725936</v>
      </c>
      <c r="U173" s="105">
        <v>453.28860885725936</v>
      </c>
      <c r="V173" s="106"/>
      <c r="W173" s="106"/>
    </row>
    <row r="174" spans="1:23" x14ac:dyDescent="0.35">
      <c r="A174">
        <v>13</v>
      </c>
      <c r="B174" s="89" t="s">
        <v>441</v>
      </c>
      <c r="C174" t="s">
        <v>374</v>
      </c>
      <c r="D174">
        <v>6</v>
      </c>
      <c r="E174">
        <v>0</v>
      </c>
      <c r="F174" t="s">
        <v>401</v>
      </c>
      <c r="G174" t="s">
        <v>44</v>
      </c>
      <c r="H174" t="s">
        <v>46</v>
      </c>
      <c r="I174" s="6" t="s">
        <v>20</v>
      </c>
      <c r="J174" s="1">
        <v>1932</v>
      </c>
      <c r="K174" s="39"/>
      <c r="L174" s="1"/>
      <c r="M174" s="1"/>
      <c r="N174" s="1"/>
      <c r="O174" s="1"/>
      <c r="P174" s="1"/>
      <c r="Q174" s="1"/>
      <c r="R174" s="1"/>
      <c r="S174" s="1"/>
      <c r="T174" s="36"/>
      <c r="U174" s="93"/>
      <c r="V174" s="91">
        <f>MAX(K174:U178)</f>
        <v>552.90194664744058</v>
      </c>
      <c r="W174" s="91" t="s">
        <v>421</v>
      </c>
    </row>
    <row r="175" spans="1:23" x14ac:dyDescent="0.35">
      <c r="B175" s="89" t="s">
        <v>441</v>
      </c>
      <c r="C175" t="s">
        <v>374</v>
      </c>
      <c r="D175">
        <v>6</v>
      </c>
      <c r="E175">
        <v>0</v>
      </c>
      <c r="F175" t="s">
        <v>401</v>
      </c>
      <c r="G175" t="s">
        <v>115</v>
      </c>
      <c r="H175" t="s">
        <v>19</v>
      </c>
      <c r="I175" s="6" t="s">
        <v>20</v>
      </c>
      <c r="J175" s="1"/>
      <c r="K175" s="39"/>
      <c r="L175" s="1"/>
      <c r="M175" s="1"/>
      <c r="N175" s="1"/>
      <c r="O175" s="1"/>
      <c r="P175" s="1"/>
      <c r="Q175" s="1"/>
      <c r="R175" s="1"/>
      <c r="S175" s="1"/>
      <c r="T175" s="36"/>
      <c r="U175" s="93"/>
      <c r="V175" s="94"/>
      <c r="W175" s="94"/>
    </row>
    <row r="176" spans="1:23" x14ac:dyDescent="0.35">
      <c r="B176" s="89" t="s">
        <v>441</v>
      </c>
      <c r="C176" t="s">
        <v>374</v>
      </c>
      <c r="D176">
        <v>6</v>
      </c>
      <c r="E176">
        <v>0</v>
      </c>
      <c r="F176" t="s">
        <v>401</v>
      </c>
      <c r="G176" t="s">
        <v>116</v>
      </c>
      <c r="H176" t="s">
        <v>19</v>
      </c>
      <c r="I176" s="6" t="s">
        <v>20</v>
      </c>
      <c r="J176" s="1"/>
      <c r="K176" s="39"/>
      <c r="L176" s="1"/>
      <c r="M176" s="1"/>
      <c r="N176" s="1"/>
      <c r="O176" s="1"/>
      <c r="P176" s="1"/>
      <c r="Q176" s="1"/>
      <c r="R176" s="1"/>
      <c r="S176" s="1"/>
      <c r="T176" s="36"/>
      <c r="U176" s="93"/>
      <c r="V176" s="94"/>
      <c r="W176" s="94"/>
    </row>
    <row r="177" spans="1:23" x14ac:dyDescent="0.35">
      <c r="B177" s="89" t="s">
        <v>441</v>
      </c>
      <c r="C177" t="s">
        <v>374</v>
      </c>
      <c r="D177">
        <v>6</v>
      </c>
      <c r="E177">
        <v>0</v>
      </c>
      <c r="F177" t="s">
        <v>401</v>
      </c>
      <c r="G177" t="s">
        <v>117</v>
      </c>
      <c r="H177" t="s">
        <v>19</v>
      </c>
      <c r="I177" s="6" t="s">
        <v>20</v>
      </c>
      <c r="J177" s="1"/>
      <c r="K177" s="39"/>
      <c r="L177" s="1"/>
      <c r="M177" s="1"/>
      <c r="N177" s="1"/>
      <c r="O177" s="1"/>
      <c r="P177" s="1"/>
      <c r="Q177" s="1"/>
      <c r="R177" s="1"/>
      <c r="S177" s="1"/>
      <c r="T177" s="36"/>
      <c r="U177" s="93"/>
      <c r="V177" s="94"/>
      <c r="W177" s="94"/>
    </row>
    <row r="178" spans="1:23" x14ac:dyDescent="0.35">
      <c r="B178" s="95" t="s">
        <v>441</v>
      </c>
      <c r="C178" s="96" t="s">
        <v>374</v>
      </c>
      <c r="D178" s="96">
        <v>6</v>
      </c>
      <c r="E178" s="96">
        <v>0</v>
      </c>
      <c r="F178" s="96" t="s">
        <v>401</v>
      </c>
      <c r="G178" s="96" t="s">
        <v>118</v>
      </c>
      <c r="H178" s="96" t="s">
        <v>19</v>
      </c>
      <c r="I178" s="97" t="s">
        <v>20</v>
      </c>
      <c r="J178" s="107"/>
      <c r="K178" s="103">
        <v>547.0439798125451</v>
      </c>
      <c r="L178" s="104">
        <v>546.59336697909157</v>
      </c>
      <c r="M178" s="104">
        <v>547.94520547945206</v>
      </c>
      <c r="N178" s="104">
        <v>550.19826964671961</v>
      </c>
      <c r="O178" s="104">
        <v>552.90194664744058</v>
      </c>
      <c r="P178" s="104">
        <v>542.98846431146364</v>
      </c>
      <c r="Q178" s="104">
        <v>537.5811103100217</v>
      </c>
      <c r="R178" s="104"/>
      <c r="S178" s="104"/>
      <c r="T178" s="104"/>
      <c r="U178" s="105"/>
      <c r="V178" s="106"/>
      <c r="W178" s="106"/>
    </row>
    <row r="179" spans="1:23" x14ac:dyDescent="0.35">
      <c r="A179">
        <v>14</v>
      </c>
      <c r="B179" s="89" t="s">
        <v>442</v>
      </c>
      <c r="C179" t="s">
        <v>374</v>
      </c>
      <c r="D179">
        <v>6</v>
      </c>
      <c r="E179">
        <v>0</v>
      </c>
      <c r="F179" t="s">
        <v>401</v>
      </c>
      <c r="G179" t="s">
        <v>44</v>
      </c>
      <c r="H179" t="s">
        <v>46</v>
      </c>
      <c r="I179" s="6" t="s">
        <v>20</v>
      </c>
      <c r="J179" s="1">
        <v>5268</v>
      </c>
      <c r="K179" s="39"/>
      <c r="L179" s="1"/>
      <c r="M179" s="1"/>
      <c r="N179" s="1"/>
      <c r="O179" s="1"/>
      <c r="P179" s="1"/>
      <c r="Q179" s="1"/>
      <c r="R179" s="1"/>
      <c r="S179" s="1"/>
      <c r="T179" s="36"/>
      <c r="U179" s="93"/>
      <c r="V179" s="91">
        <f>MAX(K179:U183)</f>
        <v>434.32587118742305</v>
      </c>
      <c r="W179" s="91" t="s">
        <v>421</v>
      </c>
    </row>
    <row r="180" spans="1:23" x14ac:dyDescent="0.35">
      <c r="B180" s="89" t="s">
        <v>442</v>
      </c>
      <c r="C180" t="s">
        <v>374</v>
      </c>
      <c r="D180">
        <v>6</v>
      </c>
      <c r="E180">
        <v>0</v>
      </c>
      <c r="F180" t="s">
        <v>401</v>
      </c>
      <c r="G180" t="s">
        <v>115</v>
      </c>
      <c r="H180" t="s">
        <v>19</v>
      </c>
      <c r="I180" s="6" t="s">
        <v>20</v>
      </c>
      <c r="K180" s="39"/>
      <c r="L180" s="1"/>
      <c r="M180" s="1"/>
      <c r="N180" s="1"/>
      <c r="O180" s="1"/>
      <c r="P180" s="1"/>
      <c r="Q180" s="1"/>
      <c r="R180" s="1"/>
      <c r="S180" s="1"/>
      <c r="T180" s="36"/>
      <c r="U180" s="93"/>
      <c r="V180" s="94"/>
      <c r="W180" s="94"/>
    </row>
    <row r="181" spans="1:23" x14ac:dyDescent="0.35">
      <c r="B181" s="89" t="s">
        <v>442</v>
      </c>
      <c r="C181" t="s">
        <v>374</v>
      </c>
      <c r="D181">
        <v>6</v>
      </c>
      <c r="E181">
        <v>0</v>
      </c>
      <c r="F181" t="s">
        <v>401</v>
      </c>
      <c r="G181" t="s">
        <v>116</v>
      </c>
      <c r="H181" t="s">
        <v>19</v>
      </c>
      <c r="I181" s="6" t="s">
        <v>20</v>
      </c>
      <c r="K181" s="39"/>
      <c r="L181" s="1"/>
      <c r="M181" s="1"/>
      <c r="N181" s="1"/>
      <c r="O181" s="1"/>
      <c r="P181" s="1"/>
      <c r="Q181" s="1"/>
      <c r="R181" s="1"/>
      <c r="S181" s="1"/>
      <c r="T181" s="36"/>
      <c r="U181" s="93"/>
      <c r="V181" s="94"/>
      <c r="W181" s="94"/>
    </row>
    <row r="182" spans="1:23" x14ac:dyDescent="0.35">
      <c r="B182" s="89" t="s">
        <v>442</v>
      </c>
      <c r="C182" t="s">
        <v>374</v>
      </c>
      <c r="D182">
        <v>6</v>
      </c>
      <c r="E182">
        <v>0</v>
      </c>
      <c r="F182" t="s">
        <v>401</v>
      </c>
      <c r="G182" t="s">
        <v>117</v>
      </c>
      <c r="H182" t="s">
        <v>19</v>
      </c>
      <c r="I182" s="6" t="s">
        <v>20</v>
      </c>
      <c r="K182" s="39"/>
      <c r="L182" s="1"/>
      <c r="M182" s="1"/>
      <c r="N182" s="1"/>
      <c r="O182" s="1"/>
      <c r="P182" s="1"/>
      <c r="Q182" s="1"/>
      <c r="R182" s="1"/>
      <c r="S182" s="1"/>
      <c r="T182" s="36"/>
      <c r="U182" s="93"/>
      <c r="V182" s="94"/>
      <c r="W182" s="94"/>
    </row>
    <row r="183" spans="1:23" x14ac:dyDescent="0.35">
      <c r="B183" s="95" t="s">
        <v>442</v>
      </c>
      <c r="C183" s="96" t="s">
        <v>374</v>
      </c>
      <c r="D183" s="96">
        <v>6</v>
      </c>
      <c r="E183" s="96">
        <v>0</v>
      </c>
      <c r="F183" s="96" t="s">
        <v>401</v>
      </c>
      <c r="G183" s="96" t="s">
        <v>118</v>
      </c>
      <c r="H183" s="96" t="s">
        <v>19</v>
      </c>
      <c r="I183" s="97" t="s">
        <v>20</v>
      </c>
      <c r="J183" s="98"/>
      <c r="K183" s="103">
        <v>333.62312540752015</v>
      </c>
      <c r="L183" s="104">
        <v>398.10186191407666</v>
      </c>
      <c r="M183" s="104">
        <v>428.53002970368766</v>
      </c>
      <c r="N183" s="104">
        <v>434.32587118742305</v>
      </c>
      <c r="O183" s="104">
        <v>424.90762877635302</v>
      </c>
      <c r="P183" s="104">
        <v>419.11178729261758</v>
      </c>
      <c r="Q183" s="104">
        <v>418.02506701441717</v>
      </c>
      <c r="R183" s="104"/>
      <c r="S183" s="104"/>
      <c r="T183" s="104"/>
      <c r="U183" s="105"/>
      <c r="V183" s="106"/>
      <c r="W183" s="106"/>
    </row>
    <row r="184" spans="1:23" x14ac:dyDescent="0.35">
      <c r="A184">
        <v>15</v>
      </c>
      <c r="B184" s="89" t="s">
        <v>89</v>
      </c>
      <c r="C184" t="s">
        <v>372</v>
      </c>
      <c r="D184">
        <v>25</v>
      </c>
      <c r="E184">
        <v>65</v>
      </c>
      <c r="F184" t="s">
        <v>26</v>
      </c>
      <c r="G184" t="s">
        <v>44</v>
      </c>
      <c r="H184" t="s">
        <v>46</v>
      </c>
      <c r="I184" s="6" t="s">
        <v>188</v>
      </c>
      <c r="J184" s="7">
        <v>0.96499999999999997</v>
      </c>
      <c r="K184" s="89"/>
      <c r="U184" s="90"/>
      <c r="V184" s="91">
        <f>MAX(K184:U188)</f>
        <v>349.10264220158922</v>
      </c>
      <c r="W184" s="91" t="s">
        <v>413</v>
      </c>
    </row>
    <row r="185" spans="1:23" x14ac:dyDescent="0.35">
      <c r="B185" s="89" t="s">
        <v>89</v>
      </c>
      <c r="C185" t="s">
        <v>372</v>
      </c>
      <c r="D185">
        <v>25</v>
      </c>
      <c r="E185">
        <v>65</v>
      </c>
      <c r="F185" t="s">
        <v>26</v>
      </c>
      <c r="G185" t="s">
        <v>115</v>
      </c>
      <c r="H185" t="s">
        <v>19</v>
      </c>
      <c r="I185" s="6" t="s">
        <v>188</v>
      </c>
      <c r="K185" s="89">
        <v>91</v>
      </c>
      <c r="L185" s="36">
        <v>134.97519798102863</v>
      </c>
      <c r="M185" s="36">
        <v>152.72822208685059</v>
      </c>
      <c r="N185" s="36">
        <v>149.68236010791054</v>
      </c>
      <c r="O185" s="36">
        <v>141.85014359063615</v>
      </c>
      <c r="P185" s="36">
        <v>129.92776955878514</v>
      </c>
      <c r="Q185" s="36">
        <v>124.70629188060221</v>
      </c>
      <c r="R185" s="36"/>
      <c r="S185" s="36"/>
      <c r="T185" s="36"/>
      <c r="U185" s="93"/>
      <c r="V185" s="94"/>
      <c r="W185" s="94"/>
    </row>
    <row r="186" spans="1:23" x14ac:dyDescent="0.35">
      <c r="B186" s="89" t="s">
        <v>89</v>
      </c>
      <c r="C186" t="s">
        <v>372</v>
      </c>
      <c r="D186">
        <v>25</v>
      </c>
      <c r="E186">
        <v>65</v>
      </c>
      <c r="F186" t="s">
        <v>26</v>
      </c>
      <c r="G186" t="s">
        <v>116</v>
      </c>
      <c r="H186" t="s">
        <v>19</v>
      </c>
      <c r="I186" s="6" t="s">
        <v>188</v>
      </c>
      <c r="K186" s="40">
        <v>143.91351904532445</v>
      </c>
      <c r="L186" s="36">
        <v>108.69376033417457</v>
      </c>
      <c r="M186" s="36">
        <v>78.409189800713605</v>
      </c>
      <c r="N186" s="36">
        <v>38.98703333043251</v>
      </c>
      <c r="O186" s="36">
        <v>1</v>
      </c>
      <c r="P186" s="36"/>
      <c r="Q186" s="36"/>
      <c r="R186" s="36"/>
      <c r="S186" s="36"/>
      <c r="T186" s="36"/>
      <c r="U186" s="93"/>
      <c r="V186" s="94"/>
      <c r="W186" s="94"/>
    </row>
    <row r="187" spans="1:23" x14ac:dyDescent="0.35">
      <c r="B187" s="89" t="s">
        <v>89</v>
      </c>
      <c r="C187" t="s">
        <v>372</v>
      </c>
      <c r="D187">
        <v>25</v>
      </c>
      <c r="E187">
        <v>65</v>
      </c>
      <c r="F187" t="s">
        <v>26</v>
      </c>
      <c r="G187" t="s">
        <v>117</v>
      </c>
      <c r="H187" t="s">
        <v>19</v>
      </c>
      <c r="I187" s="6" t="s">
        <v>188</v>
      </c>
      <c r="K187" s="40">
        <v>349.10264220158922</v>
      </c>
      <c r="L187" s="36">
        <v>335.2915369895041</v>
      </c>
      <c r="M187" s="36">
        <v>320.99248021616347</v>
      </c>
      <c r="N187" s="36">
        <v>311.04661397801533</v>
      </c>
      <c r="O187" s="36">
        <v>296.12021506434149</v>
      </c>
      <c r="P187" s="36">
        <v>295.86773792277336</v>
      </c>
      <c r="Q187" s="36">
        <v>271.17708558097286</v>
      </c>
      <c r="U187" s="90"/>
      <c r="V187" s="94"/>
      <c r="W187" s="94"/>
    </row>
    <row r="188" spans="1:23" x14ac:dyDescent="0.35">
      <c r="B188" s="95" t="s">
        <v>89</v>
      </c>
      <c r="C188" s="96" t="s">
        <v>372</v>
      </c>
      <c r="D188" s="96">
        <v>25</v>
      </c>
      <c r="E188" s="96">
        <v>65</v>
      </c>
      <c r="F188" s="96" t="s">
        <v>26</v>
      </c>
      <c r="G188" s="96" t="s">
        <v>118</v>
      </c>
      <c r="H188" s="96" t="s">
        <v>19</v>
      </c>
      <c r="I188" s="97" t="s">
        <v>188</v>
      </c>
      <c r="J188" s="98"/>
      <c r="K188" s="95"/>
      <c r="L188" s="96"/>
      <c r="M188" s="96"/>
      <c r="N188" s="96"/>
      <c r="O188" s="96"/>
      <c r="P188" s="96"/>
      <c r="Q188" s="96"/>
      <c r="R188" s="96"/>
      <c r="S188" s="96"/>
      <c r="T188" s="96"/>
      <c r="U188" s="99"/>
      <c r="V188" s="100"/>
      <c r="W188" s="100"/>
    </row>
    <row r="189" spans="1:23" x14ac:dyDescent="0.35">
      <c r="A189">
        <v>16</v>
      </c>
      <c r="B189" s="89" t="s">
        <v>89</v>
      </c>
      <c r="C189" t="s">
        <v>373</v>
      </c>
      <c r="D189">
        <v>30</v>
      </c>
      <c r="E189">
        <v>50</v>
      </c>
      <c r="F189" t="s">
        <v>26</v>
      </c>
      <c r="G189" t="s">
        <v>44</v>
      </c>
      <c r="H189" t="s">
        <v>46</v>
      </c>
      <c r="I189" s="6" t="s">
        <v>188</v>
      </c>
      <c r="J189" s="7">
        <v>0.57499999999999996</v>
      </c>
      <c r="K189" s="89"/>
      <c r="U189" s="90"/>
      <c r="V189" s="91">
        <f>MAX(K189:U193)</f>
        <v>364.33792906249613</v>
      </c>
      <c r="W189" s="91" t="s">
        <v>413</v>
      </c>
    </row>
    <row r="190" spans="1:23" x14ac:dyDescent="0.35">
      <c r="B190" s="89" t="s">
        <v>89</v>
      </c>
      <c r="C190" t="s">
        <v>373</v>
      </c>
      <c r="D190">
        <v>30</v>
      </c>
      <c r="E190">
        <v>50</v>
      </c>
      <c r="F190" t="s">
        <v>26</v>
      </c>
      <c r="G190" t="s">
        <v>115</v>
      </c>
      <c r="H190" t="s">
        <v>19</v>
      </c>
      <c r="I190" s="6" t="s">
        <v>188</v>
      </c>
      <c r="K190" s="89">
        <v>101.7602195885276</v>
      </c>
      <c r="L190" s="36">
        <v>148.49055655184435</v>
      </c>
      <c r="M190" s="36">
        <v>143.37307458010616</v>
      </c>
      <c r="N190" s="36">
        <v>129.02442323167381</v>
      </c>
      <c r="O190" s="36">
        <v>115.94928830296763</v>
      </c>
      <c r="P190" s="36">
        <v>108.86780959011401</v>
      </c>
      <c r="Q190" s="36">
        <v>103.7333565399008</v>
      </c>
      <c r="R190" s="36"/>
      <c r="S190" s="36"/>
      <c r="T190" s="36"/>
      <c r="U190" s="93"/>
      <c r="V190" s="94"/>
      <c r="W190" s="94"/>
    </row>
    <row r="191" spans="1:23" x14ac:dyDescent="0.35">
      <c r="B191" s="89" t="s">
        <v>89</v>
      </c>
      <c r="C191" t="s">
        <v>373</v>
      </c>
      <c r="D191">
        <v>30</v>
      </c>
      <c r="E191">
        <v>50</v>
      </c>
      <c r="F191" t="s">
        <v>26</v>
      </c>
      <c r="G191" t="s">
        <v>116</v>
      </c>
      <c r="H191" t="s">
        <v>19</v>
      </c>
      <c r="I191" s="6" t="s">
        <v>188</v>
      </c>
      <c r="K191" s="40">
        <v>232.79087981898877</v>
      </c>
      <c r="L191" s="36">
        <v>104.77765207553738</v>
      </c>
      <c r="M191" s="36">
        <v>75.450352449743278</v>
      </c>
      <c r="N191" s="36">
        <v>49.255939430858938</v>
      </c>
      <c r="O191" s="36">
        <v>16.534679314245931</v>
      </c>
      <c r="P191" s="36">
        <v>1</v>
      </c>
      <c r="Q191" s="36"/>
      <c r="R191" s="36"/>
      <c r="S191" s="36"/>
      <c r="T191" s="36"/>
      <c r="U191" s="93"/>
      <c r="V191" s="94"/>
      <c r="W191" s="94"/>
    </row>
    <row r="192" spans="1:23" x14ac:dyDescent="0.35">
      <c r="B192" s="89" t="s">
        <v>89</v>
      </c>
      <c r="C192" t="s">
        <v>373</v>
      </c>
      <c r="D192">
        <v>30</v>
      </c>
      <c r="E192">
        <v>50</v>
      </c>
      <c r="F192" t="s">
        <v>26</v>
      </c>
      <c r="G192" t="s">
        <v>117</v>
      </c>
      <c r="H192" t="s">
        <v>19</v>
      </c>
      <c r="I192" s="6" t="s">
        <v>188</v>
      </c>
      <c r="K192" s="40">
        <v>364.33792906249613</v>
      </c>
      <c r="L192" s="36">
        <v>312.56345545789458</v>
      </c>
      <c r="M192" s="36">
        <v>305.41009969726758</v>
      </c>
      <c r="N192" s="36">
        <v>273.91816055066579</v>
      </c>
      <c r="O192" s="36">
        <v>259.39170682210283</v>
      </c>
      <c r="P192" s="36">
        <v>235.53131882476589</v>
      </c>
      <c r="Q192" s="36">
        <v>224.75863038908261</v>
      </c>
      <c r="U192" s="90"/>
      <c r="V192" s="94"/>
      <c r="W192" s="94"/>
    </row>
    <row r="193" spans="1:23" x14ac:dyDescent="0.35">
      <c r="B193" s="95" t="s">
        <v>89</v>
      </c>
      <c r="C193" s="96" t="s">
        <v>373</v>
      </c>
      <c r="D193" s="96">
        <v>30</v>
      </c>
      <c r="E193" s="96">
        <v>50</v>
      </c>
      <c r="F193" s="96" t="s">
        <v>26</v>
      </c>
      <c r="G193" s="96" t="s">
        <v>118</v>
      </c>
      <c r="H193" s="96" t="s">
        <v>19</v>
      </c>
      <c r="I193" s="97" t="s">
        <v>188</v>
      </c>
      <c r="J193" s="98"/>
      <c r="K193" s="95"/>
      <c r="L193" s="96"/>
      <c r="M193" s="96"/>
      <c r="N193" s="96"/>
      <c r="O193" s="96"/>
      <c r="P193" s="96"/>
      <c r="Q193" s="96"/>
      <c r="R193" s="96"/>
      <c r="S193" s="96"/>
      <c r="T193" s="96"/>
      <c r="U193" s="99"/>
      <c r="V193" s="100"/>
      <c r="W193" s="100"/>
    </row>
    <row r="194" spans="1:23" x14ac:dyDescent="0.35">
      <c r="A194">
        <v>17</v>
      </c>
      <c r="B194" s="89" t="s">
        <v>89</v>
      </c>
      <c r="C194" t="s">
        <v>372</v>
      </c>
      <c r="D194">
        <v>25</v>
      </c>
      <c r="E194">
        <v>50</v>
      </c>
      <c r="F194" t="s">
        <v>26</v>
      </c>
      <c r="G194" t="s">
        <v>44</v>
      </c>
      <c r="H194" t="s">
        <v>46</v>
      </c>
      <c r="I194" s="6" t="s">
        <v>188</v>
      </c>
      <c r="J194" s="7">
        <v>0.55200000000000005</v>
      </c>
      <c r="K194" s="89"/>
      <c r="U194" s="90"/>
      <c r="V194" s="91">
        <f>MAX(K194:U198)</f>
        <v>356.21523198757558</v>
      </c>
      <c r="W194" s="91" t="s">
        <v>413</v>
      </c>
    </row>
    <row r="195" spans="1:23" x14ac:dyDescent="0.35">
      <c r="B195" s="89" t="s">
        <v>89</v>
      </c>
      <c r="C195" t="s">
        <v>372</v>
      </c>
      <c r="D195">
        <v>25</v>
      </c>
      <c r="E195">
        <v>50</v>
      </c>
      <c r="F195" t="s">
        <v>26</v>
      </c>
      <c r="G195" t="s">
        <v>115</v>
      </c>
      <c r="H195" t="s">
        <v>19</v>
      </c>
      <c r="I195" s="6" t="s">
        <v>188</v>
      </c>
      <c r="K195" s="89">
        <v>119.89121076604485</v>
      </c>
      <c r="L195" s="36">
        <v>158.12464618208602</v>
      </c>
      <c r="M195" s="36">
        <v>142.1090819008528</v>
      </c>
      <c r="N195" s="36">
        <v>125.42275491361316</v>
      </c>
      <c r="O195" s="36">
        <v>113.99561953895548</v>
      </c>
      <c r="P195" s="36">
        <v>104.27340889624874</v>
      </c>
      <c r="Q195" s="36">
        <v>99.344504043337849</v>
      </c>
      <c r="R195" s="36"/>
      <c r="S195" s="36"/>
      <c r="T195" s="36"/>
      <c r="U195" s="93"/>
      <c r="V195" s="94"/>
      <c r="W195" s="94"/>
    </row>
    <row r="196" spans="1:23" x14ac:dyDescent="0.35">
      <c r="B196" s="89" t="s">
        <v>89</v>
      </c>
      <c r="C196" t="s">
        <v>372</v>
      </c>
      <c r="D196">
        <v>25</v>
      </c>
      <c r="E196">
        <v>50</v>
      </c>
      <c r="F196" t="s">
        <v>26</v>
      </c>
      <c r="G196" t="s">
        <v>116</v>
      </c>
      <c r="H196" t="s">
        <v>19</v>
      </c>
      <c r="I196" s="6" t="s">
        <v>188</v>
      </c>
      <c r="K196" s="40">
        <v>194.9809690879361</v>
      </c>
      <c r="L196" s="36">
        <v>131.09479213386618</v>
      </c>
      <c r="M196" s="36">
        <v>110.56697064362294</v>
      </c>
      <c r="N196" s="36">
        <v>78.148115916804457</v>
      </c>
      <c r="O196" s="36">
        <v>42.642067705160564</v>
      </c>
      <c r="P196" s="36">
        <v>10.529979984335567</v>
      </c>
      <c r="Q196" s="36">
        <v>1</v>
      </c>
      <c r="R196" s="36"/>
      <c r="S196" s="36"/>
      <c r="T196" s="36"/>
      <c r="U196" s="93"/>
      <c r="V196" s="94"/>
      <c r="W196" s="94"/>
    </row>
    <row r="197" spans="1:23" x14ac:dyDescent="0.35">
      <c r="B197" s="89" t="s">
        <v>89</v>
      </c>
      <c r="C197" t="s">
        <v>372</v>
      </c>
      <c r="D197">
        <v>25</v>
      </c>
      <c r="E197">
        <v>50</v>
      </c>
      <c r="F197" t="s">
        <v>26</v>
      </c>
      <c r="G197" t="s">
        <v>117</v>
      </c>
      <c r="H197" t="s">
        <v>19</v>
      </c>
      <c r="I197" s="6" t="s">
        <v>188</v>
      </c>
      <c r="K197" s="40">
        <v>356.21523198757558</v>
      </c>
      <c r="L197" s="36">
        <v>338.34023558078701</v>
      </c>
      <c r="M197" s="36">
        <v>323.96895594180427</v>
      </c>
      <c r="N197" s="36">
        <v>311.42384723448163</v>
      </c>
      <c r="O197" s="36">
        <v>292.8122776392778</v>
      </c>
      <c r="P197" s="36">
        <v>306.94566844107021</v>
      </c>
      <c r="Q197" s="36">
        <v>255.02461098930021</v>
      </c>
      <c r="U197" s="90"/>
      <c r="V197" s="94"/>
      <c r="W197" s="94"/>
    </row>
    <row r="198" spans="1:23" x14ac:dyDescent="0.35">
      <c r="B198" s="95" t="s">
        <v>89</v>
      </c>
      <c r="C198" s="96" t="s">
        <v>372</v>
      </c>
      <c r="D198" s="96">
        <v>25</v>
      </c>
      <c r="E198" s="96">
        <v>50</v>
      </c>
      <c r="F198" s="96" t="s">
        <v>26</v>
      </c>
      <c r="G198" s="96" t="s">
        <v>118</v>
      </c>
      <c r="H198" s="96" t="s">
        <v>19</v>
      </c>
      <c r="I198" s="97" t="s">
        <v>188</v>
      </c>
      <c r="J198" s="98"/>
      <c r="K198" s="95"/>
      <c r="L198" s="96"/>
      <c r="M198" s="96"/>
      <c r="N198" s="96"/>
      <c r="O198" s="96"/>
      <c r="P198" s="96"/>
      <c r="Q198" s="96"/>
      <c r="R198" s="96"/>
      <c r="S198" s="96"/>
      <c r="T198" s="96"/>
      <c r="U198" s="99"/>
      <c r="V198" s="100"/>
      <c r="W198" s="100"/>
    </row>
    <row r="199" spans="1:23" x14ac:dyDescent="0.35">
      <c r="A199">
        <v>18</v>
      </c>
      <c r="B199" s="89" t="s">
        <v>89</v>
      </c>
      <c r="C199" t="s">
        <v>369</v>
      </c>
      <c r="D199">
        <v>12</v>
      </c>
      <c r="E199">
        <v>65</v>
      </c>
      <c r="F199" t="s">
        <v>26</v>
      </c>
      <c r="G199" t="s">
        <v>44</v>
      </c>
      <c r="H199" t="s">
        <v>46</v>
      </c>
      <c r="I199" s="6" t="s">
        <v>20</v>
      </c>
      <c r="J199" s="7">
        <v>0.89200000000000002</v>
      </c>
      <c r="K199" s="89"/>
      <c r="U199" s="90"/>
      <c r="V199" s="91">
        <f>MAX(K199:U203)</f>
        <v>333.64008943664919</v>
      </c>
      <c r="W199" s="91" t="s">
        <v>413</v>
      </c>
    </row>
    <row r="200" spans="1:23" x14ac:dyDescent="0.35">
      <c r="B200" s="89" t="s">
        <v>89</v>
      </c>
      <c r="C200" t="s">
        <v>369</v>
      </c>
      <c r="D200">
        <v>12</v>
      </c>
      <c r="E200">
        <v>65</v>
      </c>
      <c r="F200" t="s">
        <v>26</v>
      </c>
      <c r="G200" t="s">
        <v>115</v>
      </c>
      <c r="H200" t="s">
        <v>19</v>
      </c>
      <c r="I200" s="6" t="s">
        <v>20</v>
      </c>
      <c r="K200" s="40">
        <v>157.8265517065858</v>
      </c>
      <c r="L200" s="36">
        <v>160.097047603683</v>
      </c>
      <c r="M200" s="36">
        <v>162.38795579148899</v>
      </c>
      <c r="N200" s="36">
        <v>148.55103994430425</v>
      </c>
      <c r="O200" s="36">
        <v>153.07632059872944</v>
      </c>
      <c r="P200" s="36">
        <v>137.32486293621096</v>
      </c>
      <c r="Q200" s="36">
        <v>136.28056740057437</v>
      </c>
      <c r="R200" s="36"/>
      <c r="S200" s="36"/>
      <c r="T200" s="36"/>
      <c r="U200" s="93"/>
      <c r="V200" s="94"/>
      <c r="W200" s="94"/>
    </row>
    <row r="201" spans="1:23" x14ac:dyDescent="0.35">
      <c r="B201" s="89" t="s">
        <v>89</v>
      </c>
      <c r="C201" t="s">
        <v>369</v>
      </c>
      <c r="D201">
        <v>12</v>
      </c>
      <c r="E201">
        <v>65</v>
      </c>
      <c r="F201" t="s">
        <v>26</v>
      </c>
      <c r="G201" t="s">
        <v>116</v>
      </c>
      <c r="H201" t="s">
        <v>19</v>
      </c>
      <c r="I201" s="6" t="s">
        <v>20</v>
      </c>
      <c r="K201" s="40">
        <v>235.40161865808025</v>
      </c>
      <c r="L201" s="36">
        <v>211.32872494807924</v>
      </c>
      <c r="M201" s="36">
        <v>198.32912714298146</v>
      </c>
      <c r="N201" s="36">
        <v>171.52554172830912</v>
      </c>
      <c r="O201" s="36">
        <v>138.45618309981725</v>
      </c>
      <c r="P201" s="36">
        <v>101.81881472456706</v>
      </c>
      <c r="Q201" s="36">
        <v>73.274736750500395</v>
      </c>
      <c r="R201" s="36"/>
      <c r="S201" s="36"/>
      <c r="T201" s="36"/>
      <c r="U201" s="93"/>
      <c r="V201" s="94"/>
      <c r="W201" s="94"/>
    </row>
    <row r="202" spans="1:23" x14ac:dyDescent="0.35">
      <c r="B202" s="89" t="s">
        <v>89</v>
      </c>
      <c r="C202" t="s">
        <v>369</v>
      </c>
      <c r="D202">
        <v>12</v>
      </c>
      <c r="E202">
        <v>65</v>
      </c>
      <c r="F202" t="s">
        <v>26</v>
      </c>
      <c r="G202" t="s">
        <v>117</v>
      </c>
      <c r="H202" t="s">
        <v>19</v>
      </c>
      <c r="I202" s="6" t="s">
        <v>20</v>
      </c>
      <c r="K202" s="39">
        <v>333.64008943664919</v>
      </c>
      <c r="L202" s="1">
        <v>311.38259029960346</v>
      </c>
      <c r="M202" s="1">
        <v>298.4886528907748</v>
      </c>
      <c r="N202" s="1">
        <v>281.68893987200107</v>
      </c>
      <c r="O202" s="1">
        <v>267.07244834361234</v>
      </c>
      <c r="P202" s="1">
        <v>253.0408413273264</v>
      </c>
      <c r="Q202" s="1">
        <v>216.95239752850057</v>
      </c>
      <c r="R202" s="1"/>
      <c r="U202" s="90"/>
      <c r="V202" s="101"/>
      <c r="W202" s="101"/>
    </row>
    <row r="203" spans="1:23" x14ac:dyDescent="0.35">
      <c r="B203" s="95" t="s">
        <v>89</v>
      </c>
      <c r="C203" s="96" t="s">
        <v>369</v>
      </c>
      <c r="D203" s="96">
        <v>12</v>
      </c>
      <c r="E203" s="96">
        <v>65</v>
      </c>
      <c r="F203" s="96" t="s">
        <v>26</v>
      </c>
      <c r="G203" s="96" t="s">
        <v>118</v>
      </c>
      <c r="H203" s="96" t="s">
        <v>19</v>
      </c>
      <c r="I203" s="97" t="s">
        <v>20</v>
      </c>
      <c r="J203" s="98"/>
      <c r="K203" s="95"/>
      <c r="L203" s="96"/>
      <c r="M203" s="96"/>
      <c r="N203" s="96"/>
      <c r="O203" s="96"/>
      <c r="P203" s="96"/>
      <c r="Q203" s="96"/>
      <c r="R203" s="96"/>
      <c r="S203" s="96"/>
      <c r="T203" s="96"/>
      <c r="U203" s="99"/>
      <c r="V203" s="100"/>
      <c r="W203" s="100"/>
    </row>
    <row r="204" spans="1:23" x14ac:dyDescent="0.35">
      <c r="A204">
        <v>19</v>
      </c>
      <c r="B204" s="89" t="s">
        <v>469</v>
      </c>
      <c r="C204" t="s">
        <v>369</v>
      </c>
      <c r="D204">
        <v>12</v>
      </c>
      <c r="E204">
        <v>65</v>
      </c>
      <c r="F204" t="s">
        <v>26</v>
      </c>
      <c r="G204" t="s">
        <v>44</v>
      </c>
      <c r="H204" t="s">
        <v>46</v>
      </c>
      <c r="I204" s="6" t="s">
        <v>188</v>
      </c>
      <c r="J204" s="7">
        <v>1.0369999999999999</v>
      </c>
      <c r="K204" s="89"/>
      <c r="U204" s="90"/>
      <c r="V204" s="91">
        <f>MAX(K204:U208)</f>
        <v>321.44841109692004</v>
      </c>
      <c r="W204" s="91" t="s">
        <v>413</v>
      </c>
    </row>
    <row r="205" spans="1:23" x14ac:dyDescent="0.35">
      <c r="B205" s="89" t="s">
        <v>469</v>
      </c>
      <c r="C205" t="s">
        <v>369</v>
      </c>
      <c r="D205">
        <v>12</v>
      </c>
      <c r="E205">
        <v>65</v>
      </c>
      <c r="F205" t="s">
        <v>26</v>
      </c>
      <c r="G205" t="s">
        <v>115</v>
      </c>
      <c r="H205" t="s">
        <v>19</v>
      </c>
      <c r="I205" s="6" t="s">
        <v>188</v>
      </c>
      <c r="K205" s="89">
        <v>273.74961461157056</v>
      </c>
      <c r="L205" s="36">
        <v>255.94953373267896</v>
      </c>
      <c r="M205" s="36">
        <v>214.3365069672063</v>
      </c>
      <c r="N205" s="36">
        <v>207.96749581574693</v>
      </c>
      <c r="O205" s="36">
        <v>197.36289156359805</v>
      </c>
      <c r="P205" s="36">
        <v>206.3715257949342</v>
      </c>
      <c r="Q205" s="36">
        <v>204.06015239939765</v>
      </c>
      <c r="R205" s="36">
        <v>156.56670019823744</v>
      </c>
      <c r="S205" s="36">
        <v>137.36122799250566</v>
      </c>
      <c r="T205" s="36">
        <v>108.15752183029102</v>
      </c>
      <c r="U205" s="93">
        <v>70.075137891464848</v>
      </c>
      <c r="V205" s="94"/>
      <c r="W205" s="94"/>
    </row>
    <row r="206" spans="1:23" x14ac:dyDescent="0.35">
      <c r="B206" s="89" t="s">
        <v>469</v>
      </c>
      <c r="C206" t="s">
        <v>369</v>
      </c>
      <c r="D206">
        <v>12</v>
      </c>
      <c r="E206">
        <v>65</v>
      </c>
      <c r="F206" t="s">
        <v>26</v>
      </c>
      <c r="G206" t="s">
        <v>116</v>
      </c>
      <c r="H206" t="s">
        <v>19</v>
      </c>
      <c r="I206" s="6" t="s">
        <v>188</v>
      </c>
      <c r="K206" s="40">
        <v>205.97665177084195</v>
      </c>
      <c r="L206" s="36">
        <v>214.09996542093759</v>
      </c>
      <c r="M206" s="36">
        <v>168.38669243223481</v>
      </c>
      <c r="N206" s="36">
        <v>135.20809117162059</v>
      </c>
      <c r="O206" s="36">
        <v>104.84671227868597</v>
      </c>
      <c r="P206" s="36">
        <v>65.984227294093074</v>
      </c>
      <c r="Q206" s="36">
        <v>36.046509746899979</v>
      </c>
      <c r="R206" s="36">
        <v>1</v>
      </c>
      <c r="S206" s="36"/>
      <c r="T206" s="36"/>
      <c r="U206" s="93"/>
      <c r="V206" s="94"/>
      <c r="W206" s="94"/>
    </row>
    <row r="207" spans="1:23" x14ac:dyDescent="0.35">
      <c r="B207" s="89" t="s">
        <v>469</v>
      </c>
      <c r="C207" t="s">
        <v>369</v>
      </c>
      <c r="D207">
        <v>12</v>
      </c>
      <c r="E207">
        <v>65</v>
      </c>
      <c r="F207" t="s">
        <v>26</v>
      </c>
      <c r="G207" t="s">
        <v>117</v>
      </c>
      <c r="H207" t="s">
        <v>19</v>
      </c>
      <c r="I207" s="6" t="s">
        <v>188</v>
      </c>
      <c r="K207" s="40">
        <v>321.44841109692004</v>
      </c>
      <c r="L207" s="36">
        <v>319.17213198876124</v>
      </c>
      <c r="M207" s="36">
        <v>315.44864929012982</v>
      </c>
      <c r="N207" s="36">
        <v>304.13063416391338</v>
      </c>
      <c r="O207" s="36">
        <v>287.94820968616119</v>
      </c>
      <c r="P207" s="36">
        <v>276.88769141123839</v>
      </c>
      <c r="Q207" s="36">
        <v>261.18046526458727</v>
      </c>
      <c r="R207">
        <v>228.6400803585563</v>
      </c>
      <c r="S207">
        <v>194.92058391034058</v>
      </c>
      <c r="T207">
        <v>158.27008674953663</v>
      </c>
      <c r="U207" s="90">
        <v>121.39106519427197</v>
      </c>
      <c r="V207" s="94"/>
      <c r="W207" s="94"/>
    </row>
    <row r="208" spans="1:23" x14ac:dyDescent="0.35">
      <c r="B208" s="95" t="s">
        <v>469</v>
      </c>
      <c r="C208" s="96" t="s">
        <v>369</v>
      </c>
      <c r="D208" s="96">
        <v>12</v>
      </c>
      <c r="E208" s="96">
        <v>65</v>
      </c>
      <c r="F208" s="96" t="s">
        <v>26</v>
      </c>
      <c r="G208" s="96" t="s">
        <v>118</v>
      </c>
      <c r="H208" s="96" t="s">
        <v>19</v>
      </c>
      <c r="I208" s="97" t="s">
        <v>188</v>
      </c>
      <c r="J208" s="98"/>
      <c r="K208" s="95"/>
      <c r="L208" s="96"/>
      <c r="M208" s="96"/>
      <c r="N208" s="96"/>
      <c r="O208" s="96"/>
      <c r="P208" s="96"/>
      <c r="Q208" s="96"/>
      <c r="R208" s="96"/>
      <c r="S208" s="96"/>
      <c r="T208" s="96"/>
      <c r="U208" s="99"/>
      <c r="V208" s="100"/>
      <c r="W208" s="100"/>
    </row>
    <row r="209" spans="1:23" x14ac:dyDescent="0.35">
      <c r="A209">
        <v>20</v>
      </c>
      <c r="B209" s="89" t="s">
        <v>469</v>
      </c>
      <c r="C209" t="s">
        <v>388</v>
      </c>
      <c r="D209">
        <v>20</v>
      </c>
      <c r="E209">
        <v>65</v>
      </c>
      <c r="F209" t="s">
        <v>26</v>
      </c>
      <c r="G209" t="s">
        <v>44</v>
      </c>
      <c r="H209" t="s">
        <v>46</v>
      </c>
      <c r="I209" s="6" t="s">
        <v>20</v>
      </c>
      <c r="J209" s="7">
        <v>1.3149999999999999</v>
      </c>
      <c r="K209" s="89"/>
      <c r="U209" s="90"/>
      <c r="V209" s="91">
        <f>MAX(K209:U213)</f>
        <v>363.71822756702392</v>
      </c>
      <c r="W209" s="91" t="s">
        <v>413</v>
      </c>
    </row>
    <row r="210" spans="1:23" x14ac:dyDescent="0.35">
      <c r="B210" s="89" t="s">
        <v>469</v>
      </c>
      <c r="C210" t="s">
        <v>388</v>
      </c>
      <c r="D210">
        <v>20</v>
      </c>
      <c r="E210">
        <v>65</v>
      </c>
      <c r="F210" t="s">
        <v>26</v>
      </c>
      <c r="G210" t="s">
        <v>115</v>
      </c>
      <c r="H210" t="s">
        <v>19</v>
      </c>
      <c r="I210" s="6" t="s">
        <v>20</v>
      </c>
      <c r="K210" s="40">
        <v>246.07400362293941</v>
      </c>
      <c r="L210" s="36">
        <v>193.21615939424291</v>
      </c>
      <c r="M210" s="36">
        <v>214.41594390359211</v>
      </c>
      <c r="N210" s="36">
        <v>214.53570960401527</v>
      </c>
      <c r="O210" s="36">
        <v>206.76519505171424</v>
      </c>
      <c r="P210" s="36">
        <v>201.72873034940201</v>
      </c>
      <c r="Q210" s="36">
        <v>194.00615039376424</v>
      </c>
      <c r="R210" s="36">
        <v>168.53595678705648</v>
      </c>
      <c r="S210" s="36">
        <v>146.91065075930933</v>
      </c>
      <c r="T210" s="36">
        <v>126.79324055941666</v>
      </c>
      <c r="U210" s="93">
        <v>102.24051386341105</v>
      </c>
      <c r="V210" s="94"/>
      <c r="W210" s="94"/>
    </row>
    <row r="211" spans="1:23" x14ac:dyDescent="0.35">
      <c r="B211" s="89" t="s">
        <v>469</v>
      </c>
      <c r="C211" t="s">
        <v>388</v>
      </c>
      <c r="D211">
        <v>20</v>
      </c>
      <c r="E211">
        <v>65</v>
      </c>
      <c r="F211" t="s">
        <v>26</v>
      </c>
      <c r="G211" t="s">
        <v>116</v>
      </c>
      <c r="H211" t="s">
        <v>19</v>
      </c>
      <c r="I211" s="6" t="s">
        <v>20</v>
      </c>
      <c r="K211" s="40">
        <v>192.13997543161025</v>
      </c>
      <c r="L211" s="36">
        <v>201.55958445899429</v>
      </c>
      <c r="M211" s="36">
        <v>165.67383207526495</v>
      </c>
      <c r="N211" s="36">
        <v>113.11818529301247</v>
      </c>
      <c r="O211" s="36">
        <v>82.232826583051306</v>
      </c>
      <c r="P211" s="36">
        <v>46.996396302292794</v>
      </c>
      <c r="Q211" s="36">
        <v>25.37752303109599</v>
      </c>
      <c r="R211" s="36">
        <v>1</v>
      </c>
      <c r="S211" s="36"/>
      <c r="T211" s="36"/>
      <c r="U211" s="93"/>
      <c r="V211" s="94"/>
      <c r="W211" s="94"/>
    </row>
    <row r="212" spans="1:23" x14ac:dyDescent="0.35">
      <c r="B212" s="89" t="s">
        <v>469</v>
      </c>
      <c r="C212" t="s">
        <v>388</v>
      </c>
      <c r="D212">
        <v>20</v>
      </c>
      <c r="E212">
        <v>65</v>
      </c>
      <c r="F212" t="s">
        <v>26</v>
      </c>
      <c r="G212" t="s">
        <v>117</v>
      </c>
      <c r="H212" t="s">
        <v>19</v>
      </c>
      <c r="I212" s="6" t="s">
        <v>20</v>
      </c>
      <c r="K212" s="39">
        <v>352.90776622969656</v>
      </c>
      <c r="L212" s="1">
        <v>363.71822756702392</v>
      </c>
      <c r="M212" s="1">
        <v>356.25865167753307</v>
      </c>
      <c r="N212" s="1">
        <v>342.479276347488</v>
      </c>
      <c r="O212" s="1">
        <v>328.89987705363484</v>
      </c>
      <c r="P212" s="1">
        <v>315.73153435586192</v>
      </c>
      <c r="Q212" s="1">
        <v>305.08577180379558</v>
      </c>
      <c r="R212" s="1">
        <v>282.4705333865511</v>
      </c>
      <c r="S212">
        <v>264.62126164429401</v>
      </c>
      <c r="T212">
        <v>234.79447203726755</v>
      </c>
      <c r="U212" s="90">
        <v>223.61423984019768</v>
      </c>
      <c r="V212" s="101"/>
      <c r="W212" s="101"/>
    </row>
    <row r="213" spans="1:23" x14ac:dyDescent="0.35">
      <c r="B213" s="95" t="s">
        <v>469</v>
      </c>
      <c r="C213" s="96" t="s">
        <v>388</v>
      </c>
      <c r="D213" s="96">
        <v>20</v>
      </c>
      <c r="E213" s="96">
        <v>65</v>
      </c>
      <c r="F213" s="96" t="s">
        <v>26</v>
      </c>
      <c r="G213" s="96" t="s">
        <v>118</v>
      </c>
      <c r="H213" s="96" t="s">
        <v>19</v>
      </c>
      <c r="I213" s="97" t="s">
        <v>20</v>
      </c>
      <c r="J213" s="98"/>
      <c r="K213" s="95"/>
      <c r="L213" s="96"/>
      <c r="M213" s="96"/>
      <c r="N213" s="96"/>
      <c r="O213" s="96"/>
      <c r="P213" s="96"/>
      <c r="Q213" s="96"/>
      <c r="R213" s="96"/>
      <c r="S213" s="96"/>
      <c r="T213" s="96"/>
      <c r="U213" s="99"/>
      <c r="V213" s="100"/>
      <c r="W213" s="100"/>
    </row>
    <row r="214" spans="1:23" x14ac:dyDescent="0.35">
      <c r="A214">
        <v>21</v>
      </c>
      <c r="B214" s="89" t="s">
        <v>109</v>
      </c>
      <c r="C214" t="s">
        <v>371</v>
      </c>
      <c r="D214">
        <v>16</v>
      </c>
      <c r="E214">
        <v>65</v>
      </c>
      <c r="F214" t="s">
        <v>402</v>
      </c>
      <c r="G214" t="s">
        <v>44</v>
      </c>
      <c r="H214" t="s">
        <v>46</v>
      </c>
      <c r="I214" s="6" t="s">
        <v>12</v>
      </c>
      <c r="J214" s="7">
        <v>1.123</v>
      </c>
      <c r="K214" s="89"/>
      <c r="U214" s="90"/>
      <c r="V214" s="91">
        <f>MAX(K214:U218)</f>
        <v>363.78272301185075</v>
      </c>
      <c r="W214" s="91" t="s">
        <v>140</v>
      </c>
    </row>
    <row r="215" spans="1:23" x14ac:dyDescent="0.35">
      <c r="B215" s="89" t="s">
        <v>109</v>
      </c>
      <c r="C215" t="s">
        <v>371</v>
      </c>
      <c r="D215">
        <v>16</v>
      </c>
      <c r="E215">
        <v>65</v>
      </c>
      <c r="F215" t="s">
        <v>402</v>
      </c>
      <c r="G215" t="s">
        <v>115</v>
      </c>
      <c r="H215" t="s">
        <v>19</v>
      </c>
      <c r="I215" s="6" t="s">
        <v>12</v>
      </c>
      <c r="K215" s="40">
        <v>97.786076287009863</v>
      </c>
      <c r="L215" s="36">
        <v>140.35742864763935</v>
      </c>
      <c r="M215" s="36">
        <v>143.07815417444652</v>
      </c>
      <c r="N215" s="36">
        <v>143.6116297679381</v>
      </c>
      <c r="O215" s="36">
        <v>137.10322752734061</v>
      </c>
      <c r="P215" s="36">
        <v>122.96612429981327</v>
      </c>
      <c r="Q215" s="36">
        <v>99.279807948786342</v>
      </c>
      <c r="R215" s="36"/>
      <c r="S215" s="36"/>
      <c r="T215" s="36"/>
      <c r="U215" s="93"/>
      <c r="V215" s="94"/>
      <c r="W215" s="94"/>
    </row>
    <row r="216" spans="1:23" x14ac:dyDescent="0.35">
      <c r="B216" s="89" t="s">
        <v>109</v>
      </c>
      <c r="C216" t="s">
        <v>371</v>
      </c>
      <c r="D216">
        <v>16</v>
      </c>
      <c r="E216">
        <v>65</v>
      </c>
      <c r="F216" t="s">
        <v>402</v>
      </c>
      <c r="G216" t="s">
        <v>116</v>
      </c>
      <c r="H216" t="s">
        <v>19</v>
      </c>
      <c r="I216" s="6" t="s">
        <v>12</v>
      </c>
      <c r="K216" s="40">
        <v>206.40170712189916</v>
      </c>
      <c r="L216" s="36">
        <v>217.12456655108028</v>
      </c>
      <c r="M216" s="36">
        <v>187.83675646839157</v>
      </c>
      <c r="N216" s="36">
        <v>148.03947719391837</v>
      </c>
      <c r="O216" s="36">
        <v>109.73592958122165</v>
      </c>
      <c r="P216" s="36">
        <v>65.457455321419047</v>
      </c>
      <c r="Q216" s="36">
        <v>31.955188050146702</v>
      </c>
      <c r="R216" s="36"/>
      <c r="S216" s="36"/>
      <c r="T216" s="36"/>
      <c r="U216" s="93"/>
      <c r="V216" s="94"/>
      <c r="W216" s="94"/>
    </row>
    <row r="217" spans="1:23" x14ac:dyDescent="0.35">
      <c r="B217" s="89" t="s">
        <v>109</v>
      </c>
      <c r="C217" t="s">
        <v>371</v>
      </c>
      <c r="D217">
        <v>16</v>
      </c>
      <c r="E217">
        <v>65</v>
      </c>
      <c r="F217" t="s">
        <v>402</v>
      </c>
      <c r="G217" t="s">
        <v>117</v>
      </c>
      <c r="H217" t="s">
        <v>19</v>
      </c>
      <c r="I217" s="6" t="s">
        <v>12</v>
      </c>
      <c r="K217" s="39">
        <v>336.52452248135728</v>
      </c>
      <c r="L217" s="1">
        <v>361.87427758513377</v>
      </c>
      <c r="M217" s="1">
        <v>363.78272301185075</v>
      </c>
      <c r="N217" s="1">
        <v>357.49006752677906</v>
      </c>
      <c r="O217" s="1">
        <v>349.20423223970835</v>
      </c>
      <c r="P217" s="1">
        <v>345.34510407594632</v>
      </c>
      <c r="Q217" s="1">
        <v>334.78641923560565</v>
      </c>
      <c r="R217" s="1"/>
      <c r="S217" s="1"/>
      <c r="T217" s="1"/>
      <c r="U217" s="102"/>
      <c r="V217" s="91"/>
      <c r="W217" s="91"/>
    </row>
    <row r="218" spans="1:23" x14ac:dyDescent="0.35">
      <c r="B218" s="95" t="s">
        <v>109</v>
      </c>
      <c r="C218" s="96" t="s">
        <v>371</v>
      </c>
      <c r="D218" s="96">
        <v>16</v>
      </c>
      <c r="E218" s="96">
        <v>65</v>
      </c>
      <c r="F218" s="96" t="s">
        <v>402</v>
      </c>
      <c r="G218" s="96" t="s">
        <v>118</v>
      </c>
      <c r="H218" s="96" t="s">
        <v>19</v>
      </c>
      <c r="I218" s="97" t="s">
        <v>12</v>
      </c>
      <c r="J218" s="98"/>
      <c r="K218" s="95"/>
      <c r="L218" s="96"/>
      <c r="M218" s="96"/>
      <c r="N218" s="96"/>
      <c r="O218" s="96"/>
      <c r="P218" s="96"/>
      <c r="Q218" s="96"/>
      <c r="R218" s="96"/>
      <c r="S218" s="96"/>
      <c r="T218" s="96"/>
      <c r="U218" s="99"/>
      <c r="V218" s="100"/>
      <c r="W218" s="100"/>
    </row>
    <row r="219" spans="1:23" x14ac:dyDescent="0.35">
      <c r="A219">
        <v>22</v>
      </c>
      <c r="B219" s="89" t="s">
        <v>109</v>
      </c>
      <c r="C219" t="s">
        <v>372</v>
      </c>
      <c r="D219">
        <v>25</v>
      </c>
      <c r="E219">
        <v>65</v>
      </c>
      <c r="F219" t="s">
        <v>402</v>
      </c>
      <c r="G219" t="s">
        <v>44</v>
      </c>
      <c r="H219" t="s">
        <v>46</v>
      </c>
      <c r="I219" s="6" t="s">
        <v>20</v>
      </c>
      <c r="J219" s="7">
        <v>0.80300000000000005</v>
      </c>
      <c r="K219" s="89"/>
      <c r="U219" s="90"/>
      <c r="V219" s="91">
        <f>MAX(K219:U223)</f>
        <v>421.75497288104793</v>
      </c>
      <c r="W219" s="91" t="s">
        <v>140</v>
      </c>
    </row>
    <row r="220" spans="1:23" x14ac:dyDescent="0.35">
      <c r="B220" s="89" t="s">
        <v>109</v>
      </c>
      <c r="C220" t="s">
        <v>372</v>
      </c>
      <c r="D220">
        <v>25</v>
      </c>
      <c r="E220">
        <v>65</v>
      </c>
      <c r="F220" t="s">
        <v>402</v>
      </c>
      <c r="G220" t="s">
        <v>115</v>
      </c>
      <c r="H220" t="s">
        <v>19</v>
      </c>
      <c r="I220" s="6" t="s">
        <v>20</v>
      </c>
      <c r="K220" s="40">
        <v>100.06789575390401</v>
      </c>
      <c r="L220" s="36">
        <v>158.14487909333056</v>
      </c>
      <c r="M220" s="36">
        <v>182.37844048676035</v>
      </c>
      <c r="N220" s="36">
        <v>184.51976810988668</v>
      </c>
      <c r="O220" s="36">
        <v>184.51976810988668</v>
      </c>
      <c r="P220" s="36">
        <v>171.56734736512249</v>
      </c>
      <c r="Q220" s="36">
        <v>169.53047474800232</v>
      </c>
      <c r="R220" s="1">
        <f>AVERAGE(Q220,S220)</f>
        <v>165.53507076826659</v>
      </c>
      <c r="S220" s="36">
        <v>161.53966678853087</v>
      </c>
      <c r="T220" s="1">
        <f>AVERAGE(S220,U220)</f>
        <v>146.86373844466499</v>
      </c>
      <c r="U220" s="93">
        <v>132.18781010079908</v>
      </c>
      <c r="V220" s="94"/>
      <c r="W220" s="94"/>
    </row>
    <row r="221" spans="1:23" x14ac:dyDescent="0.35">
      <c r="B221" s="89" t="s">
        <v>109</v>
      </c>
      <c r="C221" t="s">
        <v>372</v>
      </c>
      <c r="D221">
        <v>25</v>
      </c>
      <c r="E221">
        <v>65</v>
      </c>
      <c r="F221" t="s">
        <v>402</v>
      </c>
      <c r="G221" t="s">
        <v>116</v>
      </c>
      <c r="H221" t="s">
        <v>19</v>
      </c>
      <c r="I221" s="6" t="s">
        <v>20</v>
      </c>
      <c r="K221" s="40">
        <v>368.71991641097605</v>
      </c>
      <c r="L221" s="36">
        <v>228.76573430787587</v>
      </c>
      <c r="M221" s="36">
        <v>168.53815219094378</v>
      </c>
      <c r="N221" s="36">
        <v>124.30145714733379</v>
      </c>
      <c r="O221" s="36">
        <v>83.093957277902547</v>
      </c>
      <c r="P221" s="36">
        <v>49.511672846921194</v>
      </c>
      <c r="Q221" s="36">
        <v>9.714315558573146</v>
      </c>
      <c r="R221" s="1">
        <f>AVERAGE(Q221,S221)</f>
        <v>5.357157779286573</v>
      </c>
      <c r="S221" s="36">
        <v>1</v>
      </c>
      <c r="T221" s="1"/>
      <c r="U221" s="93"/>
      <c r="V221" s="94"/>
      <c r="W221" s="94"/>
    </row>
    <row r="222" spans="1:23" x14ac:dyDescent="0.35">
      <c r="B222" s="89" t="s">
        <v>109</v>
      </c>
      <c r="C222" t="s">
        <v>372</v>
      </c>
      <c r="D222">
        <v>25</v>
      </c>
      <c r="E222">
        <v>65</v>
      </c>
      <c r="F222" t="s">
        <v>402</v>
      </c>
      <c r="G222" t="s">
        <v>117</v>
      </c>
      <c r="H222" t="s">
        <v>19</v>
      </c>
      <c r="I222" s="6" t="s">
        <v>20</v>
      </c>
      <c r="K222" s="39">
        <v>421.75497288104793</v>
      </c>
      <c r="L222" s="1">
        <v>310.53340640988773</v>
      </c>
      <c r="M222" s="1">
        <v>304.75523658283203</v>
      </c>
      <c r="N222" s="1">
        <v>280.98105654638294</v>
      </c>
      <c r="O222" s="1">
        <v>251.55161920237273</v>
      </c>
      <c r="P222" s="1">
        <v>228.81356839596015</v>
      </c>
      <c r="Q222" s="1">
        <v>211.52138716247978</v>
      </c>
      <c r="R222" s="1">
        <f>AVERAGE(Q222,S222)</f>
        <v>175.01436256332585</v>
      </c>
      <c r="S222" s="1">
        <v>138.50733796417194</v>
      </c>
      <c r="T222" s="1">
        <f>AVERAGE(S222,U222)</f>
        <v>93.017182848488019</v>
      </c>
      <c r="U222" s="102">
        <v>47.5270277328041</v>
      </c>
      <c r="V222" s="91"/>
      <c r="W222" s="91"/>
    </row>
    <row r="223" spans="1:23" x14ac:dyDescent="0.35">
      <c r="B223" s="95" t="s">
        <v>109</v>
      </c>
      <c r="C223" s="96" t="s">
        <v>372</v>
      </c>
      <c r="D223" s="96">
        <v>25</v>
      </c>
      <c r="E223" s="96">
        <v>65</v>
      </c>
      <c r="F223" s="96" t="s">
        <v>402</v>
      </c>
      <c r="G223" s="96" t="s">
        <v>118</v>
      </c>
      <c r="H223" s="96" t="s">
        <v>19</v>
      </c>
      <c r="I223" s="97" t="s">
        <v>20</v>
      </c>
      <c r="J223" s="98"/>
      <c r="K223" s="95"/>
      <c r="L223" s="96"/>
      <c r="M223" s="96"/>
      <c r="N223" s="96"/>
      <c r="O223" s="96"/>
      <c r="P223" s="96"/>
      <c r="Q223" s="96"/>
      <c r="R223" s="96"/>
      <c r="S223" s="96"/>
      <c r="T223" s="96"/>
      <c r="U223" s="99"/>
      <c r="V223" s="100"/>
      <c r="W223" s="100"/>
    </row>
    <row r="224" spans="1:23" x14ac:dyDescent="0.35">
      <c r="A224">
        <v>23</v>
      </c>
      <c r="B224" s="89" t="s">
        <v>384</v>
      </c>
      <c r="C224" t="s">
        <v>372</v>
      </c>
      <c r="D224">
        <v>25</v>
      </c>
      <c r="E224">
        <v>60</v>
      </c>
      <c r="F224" t="s">
        <v>406</v>
      </c>
      <c r="G224" t="s">
        <v>44</v>
      </c>
      <c r="H224" t="s">
        <v>46</v>
      </c>
      <c r="I224" s="6" t="s">
        <v>12</v>
      </c>
      <c r="J224" s="7">
        <v>1.167</v>
      </c>
      <c r="K224" s="89"/>
      <c r="U224" s="90"/>
      <c r="V224" s="91">
        <f>MAX(K224:U228)</f>
        <v>450.17647058823536</v>
      </c>
      <c r="W224" s="91" t="s">
        <v>413</v>
      </c>
    </row>
    <row r="225" spans="1:23" x14ac:dyDescent="0.35">
      <c r="B225" s="89" t="s">
        <v>384</v>
      </c>
      <c r="C225" t="s">
        <v>372</v>
      </c>
      <c r="D225">
        <v>25</v>
      </c>
      <c r="E225">
        <v>60</v>
      </c>
      <c r="F225" t="s">
        <v>406</v>
      </c>
      <c r="G225" t="s">
        <v>115</v>
      </c>
      <c r="H225" t="s">
        <v>19</v>
      </c>
      <c r="I225" s="6" t="s">
        <v>12</v>
      </c>
      <c r="K225" s="40">
        <v>381.39823008849555</v>
      </c>
      <c r="L225" s="36">
        <v>383.7433155080214</v>
      </c>
      <c r="M225" s="36">
        <v>389.25957446808508</v>
      </c>
      <c r="N225" s="36">
        <v>379.22264150943397</v>
      </c>
      <c r="O225" s="36">
        <v>375.73665480427047</v>
      </c>
      <c r="P225" s="36">
        <v>371.45070422535207</v>
      </c>
      <c r="Q225" s="36">
        <v>376.5263157894737</v>
      </c>
      <c r="R225" s="36">
        <v>373.05405405405406</v>
      </c>
      <c r="S225" s="36">
        <v>370.48</v>
      </c>
      <c r="T225" s="36">
        <v>392.50666666666666</v>
      </c>
      <c r="U225" s="93">
        <v>366.04</v>
      </c>
      <c r="V225" s="94"/>
      <c r="W225" s="94"/>
    </row>
    <row r="226" spans="1:23" x14ac:dyDescent="0.35">
      <c r="B226" s="89" t="s">
        <v>384</v>
      </c>
      <c r="C226" t="s">
        <v>372</v>
      </c>
      <c r="D226">
        <v>25</v>
      </c>
      <c r="E226">
        <v>60</v>
      </c>
      <c r="F226" t="s">
        <v>406</v>
      </c>
      <c r="G226" t="s">
        <v>116</v>
      </c>
      <c r="H226" t="s">
        <v>19</v>
      </c>
      <c r="I226" s="6" t="s">
        <v>12</v>
      </c>
      <c r="K226" s="40">
        <v>235.50819672131149</v>
      </c>
      <c r="L226" s="36">
        <v>230</v>
      </c>
      <c r="M226" s="36">
        <v>219.89423076923077</v>
      </c>
      <c r="N226" s="36">
        <v>186.56</v>
      </c>
      <c r="O226" s="36">
        <v>142.38666666666666</v>
      </c>
      <c r="P226" s="36">
        <v>98.4</v>
      </c>
      <c r="Q226" s="36">
        <v>52.586666666666666</v>
      </c>
      <c r="R226" s="36">
        <v>1</v>
      </c>
      <c r="S226" s="36"/>
      <c r="T226" s="36"/>
      <c r="U226" s="93"/>
      <c r="V226" s="94"/>
      <c r="W226" s="94"/>
    </row>
    <row r="227" spans="1:23" x14ac:dyDescent="0.35">
      <c r="B227" s="89" t="s">
        <v>384</v>
      </c>
      <c r="C227" t="s">
        <v>372</v>
      </c>
      <c r="D227">
        <v>25</v>
      </c>
      <c r="E227">
        <v>60</v>
      </c>
      <c r="F227" t="s">
        <v>406</v>
      </c>
      <c r="G227" t="s">
        <v>117</v>
      </c>
      <c r="H227" t="s">
        <v>19</v>
      </c>
      <c r="I227" s="6" t="s">
        <v>12</v>
      </c>
      <c r="K227" s="39">
        <v>430</v>
      </c>
      <c r="L227" s="1">
        <v>437.56097560975616</v>
      </c>
      <c r="M227" s="1">
        <v>439.78846153846155</v>
      </c>
      <c r="N227" s="1">
        <v>442.704845814978</v>
      </c>
      <c r="O227" s="1">
        <v>450.17647058823536</v>
      </c>
      <c r="P227" s="1">
        <v>443.24369747899163</v>
      </c>
      <c r="Q227" s="1">
        <v>445.26970954356852</v>
      </c>
      <c r="R227" s="1">
        <v>443.82636655948551</v>
      </c>
      <c r="S227" s="1">
        <v>442.21750663129973</v>
      </c>
      <c r="T227" s="1">
        <v>437.01980198019805</v>
      </c>
      <c r="U227" s="102">
        <v>435.90663390663389</v>
      </c>
      <c r="V227" s="91"/>
      <c r="W227" s="91"/>
    </row>
    <row r="228" spans="1:23" x14ac:dyDescent="0.35">
      <c r="B228" s="95" t="s">
        <v>384</v>
      </c>
      <c r="C228" s="96" t="s">
        <v>372</v>
      </c>
      <c r="D228" s="96">
        <v>25</v>
      </c>
      <c r="E228" s="96">
        <v>60</v>
      </c>
      <c r="F228" s="96" t="s">
        <v>406</v>
      </c>
      <c r="G228" s="96" t="s">
        <v>118</v>
      </c>
      <c r="H228" s="96" t="s">
        <v>19</v>
      </c>
      <c r="I228" s="97" t="s">
        <v>12</v>
      </c>
      <c r="J228" s="98"/>
      <c r="K228" s="95"/>
      <c r="L228" s="96"/>
      <c r="M228" s="96"/>
      <c r="N228" s="96"/>
      <c r="O228" s="96"/>
      <c r="P228" s="96"/>
      <c r="Q228" s="96"/>
      <c r="R228" s="96"/>
      <c r="S228" s="96"/>
      <c r="T228" s="96"/>
      <c r="U228" s="99"/>
      <c r="V228" s="100"/>
      <c r="W228" s="100"/>
    </row>
    <row r="229" spans="1:23" x14ac:dyDescent="0.35">
      <c r="A229">
        <v>24</v>
      </c>
      <c r="B229" s="89" t="s">
        <v>384</v>
      </c>
      <c r="C229" t="s">
        <v>371</v>
      </c>
      <c r="D229">
        <v>16</v>
      </c>
      <c r="E229">
        <v>60</v>
      </c>
      <c r="F229" t="s">
        <v>406</v>
      </c>
      <c r="G229" t="s">
        <v>44</v>
      </c>
      <c r="H229" t="s">
        <v>46</v>
      </c>
      <c r="I229" s="6" t="s">
        <v>12</v>
      </c>
      <c r="J229" s="7">
        <v>1.1479999999999999</v>
      </c>
      <c r="K229" s="89"/>
      <c r="U229" s="90"/>
      <c r="V229" s="91">
        <f>MAX(K229:U233)</f>
        <v>450.82174462705444</v>
      </c>
      <c r="W229" s="91" t="s">
        <v>413</v>
      </c>
    </row>
    <row r="230" spans="1:23" x14ac:dyDescent="0.35">
      <c r="B230" s="89" t="s">
        <v>384</v>
      </c>
      <c r="C230" t="s">
        <v>371</v>
      </c>
      <c r="D230">
        <v>16</v>
      </c>
      <c r="E230">
        <v>60</v>
      </c>
      <c r="F230" t="s">
        <v>406</v>
      </c>
      <c r="G230" t="s">
        <v>115</v>
      </c>
      <c r="H230" t="s">
        <v>19</v>
      </c>
      <c r="I230" s="6" t="s">
        <v>12</v>
      </c>
      <c r="K230" s="40">
        <v>409.8857142857143</v>
      </c>
      <c r="L230" s="36">
        <v>388.10869565217394</v>
      </c>
      <c r="M230" s="36">
        <v>410.51351351351349</v>
      </c>
      <c r="N230" s="36">
        <v>428.07692307692309</v>
      </c>
      <c r="O230" s="36">
        <v>417.0760233918129</v>
      </c>
      <c r="P230" s="36">
        <v>323.40923076923076</v>
      </c>
      <c r="Q230" s="36">
        <v>313.58357771261001</v>
      </c>
      <c r="R230" s="36">
        <v>353.84536082474227</v>
      </c>
      <c r="S230" s="36">
        <v>363.38666666666666</v>
      </c>
      <c r="T230" s="36">
        <v>391.6</v>
      </c>
      <c r="U230" s="93">
        <v>360</v>
      </c>
      <c r="V230" s="94"/>
      <c r="W230" s="94"/>
    </row>
    <row r="231" spans="1:23" x14ac:dyDescent="0.35">
      <c r="B231" s="89" t="s">
        <v>384</v>
      </c>
      <c r="C231" t="s">
        <v>371</v>
      </c>
      <c r="D231">
        <v>16</v>
      </c>
      <c r="E231">
        <v>60</v>
      </c>
      <c r="F231" t="s">
        <v>406</v>
      </c>
      <c r="G231" t="s">
        <v>116</v>
      </c>
      <c r="H231" t="s">
        <v>19</v>
      </c>
      <c r="I231" s="6" t="s">
        <v>12</v>
      </c>
      <c r="K231" s="40">
        <v>316.45588235294116</v>
      </c>
      <c r="L231" s="36">
        <v>298.79497907949792</v>
      </c>
      <c r="M231" s="36">
        <v>294.93203883495147</v>
      </c>
      <c r="N231" s="36">
        <v>258.83720930232562</v>
      </c>
      <c r="O231" s="36">
        <v>237.73333333333332</v>
      </c>
      <c r="P231" s="36">
        <v>222.53333333333333</v>
      </c>
      <c r="Q231" s="36">
        <v>197.78666666666666</v>
      </c>
      <c r="R231" s="36">
        <v>155.06666666666666</v>
      </c>
      <c r="S231" s="36">
        <v>109.26666666666667</v>
      </c>
      <c r="T231" s="36">
        <v>62.306666666666665</v>
      </c>
      <c r="U231" s="93">
        <v>0</v>
      </c>
      <c r="V231" s="94"/>
      <c r="W231" s="94"/>
    </row>
    <row r="232" spans="1:23" x14ac:dyDescent="0.35">
      <c r="B232" s="89" t="s">
        <v>384</v>
      </c>
      <c r="C232" t="s">
        <v>371</v>
      </c>
      <c r="D232">
        <v>16</v>
      </c>
      <c r="E232">
        <v>60</v>
      </c>
      <c r="F232" t="s">
        <v>406</v>
      </c>
      <c r="G232" t="s">
        <v>117</v>
      </c>
      <c r="H232" t="s">
        <v>19</v>
      </c>
      <c r="I232" s="6" t="s">
        <v>12</v>
      </c>
      <c r="K232" s="39">
        <v>448.3125</v>
      </c>
      <c r="L232" s="1">
        <v>435.4390243902439</v>
      </c>
      <c r="M232" s="1">
        <v>436.04784688995215</v>
      </c>
      <c r="N232" s="1">
        <v>449.19282511210758</v>
      </c>
      <c r="O232" s="1">
        <v>450.82174462705444</v>
      </c>
      <c r="P232" s="1">
        <v>437.95</v>
      </c>
      <c r="Q232" s="1">
        <v>432.92307692307691</v>
      </c>
      <c r="R232" s="1">
        <v>435.84761904761905</v>
      </c>
      <c r="S232" s="1">
        <v>449.70810810810809</v>
      </c>
      <c r="T232" s="1">
        <v>422.66666666666669</v>
      </c>
      <c r="U232" s="102">
        <v>407</v>
      </c>
      <c r="V232" s="91"/>
      <c r="W232" s="91"/>
    </row>
    <row r="233" spans="1:23" x14ac:dyDescent="0.35">
      <c r="B233" s="95" t="s">
        <v>384</v>
      </c>
      <c r="C233" s="96" t="s">
        <v>371</v>
      </c>
      <c r="D233" s="96">
        <v>16</v>
      </c>
      <c r="E233" s="96">
        <v>60</v>
      </c>
      <c r="F233" s="96" t="s">
        <v>406</v>
      </c>
      <c r="G233" s="96" t="s">
        <v>118</v>
      </c>
      <c r="H233" s="96" t="s">
        <v>19</v>
      </c>
      <c r="I233" s="97" t="s">
        <v>12</v>
      </c>
      <c r="J233" s="98"/>
      <c r="K233" s="95"/>
      <c r="L233" s="96"/>
      <c r="M233" s="96"/>
      <c r="N233" s="96"/>
      <c r="O233" s="96"/>
      <c r="P233" s="96"/>
      <c r="Q233" s="96"/>
      <c r="R233" s="96"/>
      <c r="S233" s="96"/>
      <c r="T233" s="96"/>
      <c r="U233" s="99"/>
      <c r="V233" s="100"/>
      <c r="W233" s="100"/>
    </row>
    <row r="234" spans="1:23" x14ac:dyDescent="0.35">
      <c r="A234">
        <v>25</v>
      </c>
      <c r="B234" s="89" t="s">
        <v>384</v>
      </c>
      <c r="C234" t="s">
        <v>372</v>
      </c>
      <c r="D234">
        <v>25</v>
      </c>
      <c r="E234">
        <v>65</v>
      </c>
      <c r="F234" t="s">
        <v>406</v>
      </c>
      <c r="G234" t="s">
        <v>44</v>
      </c>
      <c r="H234" t="s">
        <v>46</v>
      </c>
      <c r="I234" s="6" t="s">
        <v>12</v>
      </c>
      <c r="J234" s="7">
        <v>1.42</v>
      </c>
      <c r="K234" s="89"/>
      <c r="U234" s="90"/>
      <c r="V234" s="91">
        <f>MAX(K234:U238)</f>
        <v>457.468085106383</v>
      </c>
      <c r="W234" s="91" t="s">
        <v>413</v>
      </c>
    </row>
    <row r="235" spans="1:23" x14ac:dyDescent="0.35">
      <c r="B235" s="89" t="s">
        <v>384</v>
      </c>
      <c r="C235" t="s">
        <v>372</v>
      </c>
      <c r="D235">
        <v>25</v>
      </c>
      <c r="E235">
        <v>65</v>
      </c>
      <c r="F235" t="s">
        <v>406</v>
      </c>
      <c r="G235" t="s">
        <v>115</v>
      </c>
      <c r="H235" t="s">
        <v>19</v>
      </c>
      <c r="I235" s="6" t="s">
        <v>12</v>
      </c>
      <c r="K235" s="40">
        <v>387.40540540540542</v>
      </c>
      <c r="L235" s="36">
        <v>381.60638297872339</v>
      </c>
      <c r="M235" s="36">
        <v>394.11206896551727</v>
      </c>
      <c r="N235" s="36">
        <v>380.79545454545456</v>
      </c>
      <c r="O235" s="36">
        <v>368.62237762237766</v>
      </c>
      <c r="P235" s="36">
        <v>344.41584158415844</v>
      </c>
      <c r="Q235" s="36">
        <v>352.89473684210526</v>
      </c>
      <c r="R235" s="36">
        <v>355.79381443298968</v>
      </c>
      <c r="S235" s="36">
        <v>369.48</v>
      </c>
      <c r="T235" s="36">
        <v>396.37333333333333</v>
      </c>
      <c r="U235" s="93">
        <v>374</v>
      </c>
      <c r="V235" s="94"/>
      <c r="W235" s="94"/>
    </row>
    <row r="236" spans="1:23" x14ac:dyDescent="0.35">
      <c r="B236" s="89" t="s">
        <v>384</v>
      </c>
      <c r="C236" t="s">
        <v>372</v>
      </c>
      <c r="D236">
        <v>25</v>
      </c>
      <c r="E236">
        <v>65</v>
      </c>
      <c r="F236" t="s">
        <v>406</v>
      </c>
      <c r="G236" t="s">
        <v>116</v>
      </c>
      <c r="H236" t="s">
        <v>19</v>
      </c>
      <c r="I236" s="6" t="s">
        <v>12</v>
      </c>
      <c r="K236" s="40">
        <v>236.27472527472526</v>
      </c>
      <c r="L236" s="36">
        <v>225.60377358490567</v>
      </c>
      <c r="M236" s="36">
        <v>212.14385150812063</v>
      </c>
      <c r="N236" s="36">
        <v>180.21333333333334</v>
      </c>
      <c r="O236" s="36">
        <v>134.50666666666666</v>
      </c>
      <c r="P236" s="36">
        <v>84.546666666666667</v>
      </c>
      <c r="Q236" s="36">
        <v>42.293333333333337</v>
      </c>
      <c r="R236" s="36">
        <v>1</v>
      </c>
      <c r="S236" s="36"/>
      <c r="T236" s="36"/>
      <c r="U236" s="93"/>
      <c r="V236" s="94"/>
      <c r="W236" s="94"/>
    </row>
    <row r="237" spans="1:23" x14ac:dyDescent="0.35">
      <c r="B237" s="89" t="s">
        <v>384</v>
      </c>
      <c r="C237" t="s">
        <v>372</v>
      </c>
      <c r="D237">
        <v>25</v>
      </c>
      <c r="E237">
        <v>65</v>
      </c>
      <c r="F237" t="s">
        <v>406</v>
      </c>
      <c r="G237" t="s">
        <v>117</v>
      </c>
      <c r="H237" t="s">
        <v>19</v>
      </c>
      <c r="I237" s="6" t="s">
        <v>12</v>
      </c>
      <c r="K237" s="39">
        <v>457.468085106383</v>
      </c>
      <c r="L237" s="1">
        <v>445.6024844720497</v>
      </c>
      <c r="M237" s="1">
        <v>441.71014492753619</v>
      </c>
      <c r="N237" s="1">
        <v>456.9545454545455</v>
      </c>
      <c r="O237" s="1">
        <v>441.11297071129707</v>
      </c>
      <c r="P237" s="1">
        <v>442.19491525423734</v>
      </c>
      <c r="Q237" s="1">
        <v>441.48148148148147</v>
      </c>
      <c r="R237" s="1">
        <v>435.48264984227131</v>
      </c>
      <c r="S237" s="1">
        <v>435.68132492113568</v>
      </c>
      <c r="T237" s="1">
        <v>435.88</v>
      </c>
      <c r="U237" s="102">
        <v>438.34666666666669</v>
      </c>
      <c r="V237" s="91"/>
      <c r="W237" s="91"/>
    </row>
    <row r="238" spans="1:23" x14ac:dyDescent="0.35">
      <c r="B238" s="95" t="s">
        <v>384</v>
      </c>
      <c r="C238" s="96" t="s">
        <v>372</v>
      </c>
      <c r="D238" s="96">
        <v>25</v>
      </c>
      <c r="E238" s="96">
        <v>65</v>
      </c>
      <c r="F238" s="96" t="s">
        <v>406</v>
      </c>
      <c r="G238" s="96" t="s">
        <v>118</v>
      </c>
      <c r="H238" s="96" t="s">
        <v>19</v>
      </c>
      <c r="I238" s="97" t="s">
        <v>12</v>
      </c>
      <c r="J238" s="98"/>
      <c r="K238" s="95"/>
      <c r="L238" s="96"/>
      <c r="M238" s="96"/>
      <c r="N238" s="96"/>
      <c r="O238" s="96"/>
      <c r="P238" s="96"/>
      <c r="Q238" s="96"/>
      <c r="R238" s="96"/>
      <c r="S238" s="96"/>
      <c r="T238" s="96"/>
      <c r="U238" s="99"/>
      <c r="V238" s="100"/>
      <c r="W238" s="100"/>
    </row>
    <row r="239" spans="1:23" x14ac:dyDescent="0.35">
      <c r="A239">
        <v>26</v>
      </c>
      <c r="B239" s="89" t="s">
        <v>384</v>
      </c>
      <c r="C239" t="s">
        <v>371</v>
      </c>
      <c r="D239">
        <v>16</v>
      </c>
      <c r="E239">
        <v>65</v>
      </c>
      <c r="F239" t="s">
        <v>406</v>
      </c>
      <c r="G239" t="s">
        <v>44</v>
      </c>
      <c r="H239" t="s">
        <v>46</v>
      </c>
      <c r="I239" s="6" t="s">
        <v>12</v>
      </c>
      <c r="J239" s="7">
        <v>1.3939999999999999</v>
      </c>
      <c r="K239" s="89"/>
      <c r="U239" s="90"/>
      <c r="V239" s="91">
        <f>MAX(K239:U243)</f>
        <v>448.5</v>
      </c>
      <c r="W239" s="91" t="s">
        <v>413</v>
      </c>
    </row>
    <row r="240" spans="1:23" x14ac:dyDescent="0.35">
      <c r="B240" s="89" t="s">
        <v>384</v>
      </c>
      <c r="C240" t="s">
        <v>371</v>
      </c>
      <c r="D240">
        <v>16</v>
      </c>
      <c r="E240">
        <v>65</v>
      </c>
      <c r="F240" t="s">
        <v>406</v>
      </c>
      <c r="G240" t="s">
        <v>115</v>
      </c>
      <c r="H240" t="s">
        <v>19</v>
      </c>
      <c r="I240" s="6" t="s">
        <v>12</v>
      </c>
      <c r="K240" s="40">
        <v>377.68421052631578</v>
      </c>
      <c r="L240" s="36">
        <v>350.79</v>
      </c>
      <c r="M240" s="36">
        <v>361.13833992094862</v>
      </c>
      <c r="N240" s="36">
        <v>357.19285714285712</v>
      </c>
      <c r="O240" s="36">
        <v>317.9636363636364</v>
      </c>
      <c r="P240" s="36">
        <v>302.88695652173914</v>
      </c>
      <c r="Q240" s="36">
        <v>300.58119658119654</v>
      </c>
      <c r="R240" s="36">
        <v>319.31162790697675</v>
      </c>
      <c r="S240" s="36">
        <v>357.06666666666666</v>
      </c>
      <c r="T240" s="36">
        <v>379.65333333333331</v>
      </c>
      <c r="U240" s="93">
        <v>370.53333333333336</v>
      </c>
      <c r="V240" s="94"/>
      <c r="W240" s="94"/>
    </row>
    <row r="241" spans="1:23" x14ac:dyDescent="0.35">
      <c r="B241" s="89" t="s">
        <v>384</v>
      </c>
      <c r="C241" t="s">
        <v>371</v>
      </c>
      <c r="D241">
        <v>16</v>
      </c>
      <c r="E241">
        <v>65</v>
      </c>
      <c r="F241" t="s">
        <v>406</v>
      </c>
      <c r="G241" t="s">
        <v>116</v>
      </c>
      <c r="H241" t="s">
        <v>19</v>
      </c>
      <c r="I241" s="6" t="s">
        <v>12</v>
      </c>
      <c r="K241" s="40">
        <v>316.58823529411768</v>
      </c>
      <c r="L241" s="36">
        <v>293.54811715481173</v>
      </c>
      <c r="M241" s="36">
        <v>275.65807919596256</v>
      </c>
      <c r="N241" s="36">
        <v>257.76804123711338</v>
      </c>
      <c r="O241" s="36">
        <v>236.85778781038374</v>
      </c>
      <c r="P241" s="36">
        <v>215.4</v>
      </c>
      <c r="Q241" s="36">
        <v>193.88</v>
      </c>
      <c r="R241" s="36">
        <v>146.14666666666668</v>
      </c>
      <c r="S241" s="36">
        <v>108.16</v>
      </c>
      <c r="T241" s="36">
        <v>57.386666666666663</v>
      </c>
      <c r="U241" s="93">
        <v>12.52</v>
      </c>
      <c r="V241" s="94"/>
      <c r="W241" s="94"/>
    </row>
    <row r="242" spans="1:23" x14ac:dyDescent="0.35">
      <c r="B242" s="89" t="s">
        <v>384</v>
      </c>
      <c r="C242" t="s">
        <v>371</v>
      </c>
      <c r="D242">
        <v>16</v>
      </c>
      <c r="E242">
        <v>65</v>
      </c>
      <c r="F242" t="s">
        <v>406</v>
      </c>
      <c r="G242" t="s">
        <v>117</v>
      </c>
      <c r="H242" t="s">
        <v>19</v>
      </c>
      <c r="I242" s="6" t="s">
        <v>12</v>
      </c>
      <c r="K242" s="39">
        <v>448.5</v>
      </c>
      <c r="L242" s="1">
        <v>415.1360946745562</v>
      </c>
      <c r="M242" s="1">
        <v>433.02369668246445</v>
      </c>
      <c r="N242" s="1">
        <v>438.65789473684214</v>
      </c>
      <c r="O242" s="1">
        <v>426.53658536585368</v>
      </c>
      <c r="P242" s="1">
        <v>446.5641025641026</v>
      </c>
      <c r="Q242" s="1">
        <v>432.39344262295083</v>
      </c>
      <c r="R242" s="1">
        <v>422.47384615384613</v>
      </c>
      <c r="S242" s="1">
        <v>420.51127819548873</v>
      </c>
      <c r="T242" s="1">
        <v>428.57333333333332</v>
      </c>
      <c r="U242" s="102">
        <v>427.25333333333333</v>
      </c>
      <c r="V242" s="91"/>
      <c r="W242" s="91"/>
    </row>
    <row r="243" spans="1:23" x14ac:dyDescent="0.35">
      <c r="B243" s="95" t="s">
        <v>384</v>
      </c>
      <c r="C243" s="96" t="s">
        <v>371</v>
      </c>
      <c r="D243" s="96">
        <v>16</v>
      </c>
      <c r="E243" s="96">
        <v>65</v>
      </c>
      <c r="F243" s="96" t="s">
        <v>406</v>
      </c>
      <c r="G243" s="96" t="s">
        <v>118</v>
      </c>
      <c r="H243" s="96" t="s">
        <v>19</v>
      </c>
      <c r="I243" s="97" t="s">
        <v>12</v>
      </c>
      <c r="J243" s="98"/>
      <c r="K243" s="95"/>
      <c r="L243" s="96"/>
      <c r="M243" s="96"/>
      <c r="N243" s="96"/>
      <c r="O243" s="96"/>
      <c r="P243" s="96"/>
      <c r="Q243" s="96"/>
      <c r="R243" s="96"/>
      <c r="S243" s="96"/>
      <c r="T243" s="96"/>
      <c r="U243" s="99"/>
      <c r="V243" s="100"/>
      <c r="W243" s="100"/>
    </row>
    <row r="244" spans="1:23" x14ac:dyDescent="0.35">
      <c r="A244">
        <v>27</v>
      </c>
      <c r="B244" s="89" t="s">
        <v>358</v>
      </c>
      <c r="C244" t="s">
        <v>372</v>
      </c>
      <c r="D244">
        <v>25</v>
      </c>
      <c r="E244">
        <v>60</v>
      </c>
      <c r="F244" t="s">
        <v>406</v>
      </c>
      <c r="G244" t="s">
        <v>44</v>
      </c>
      <c r="H244" t="s">
        <v>46</v>
      </c>
      <c r="I244" s="6" t="s">
        <v>140</v>
      </c>
      <c r="J244" s="7">
        <v>1.177</v>
      </c>
      <c r="K244" s="89"/>
      <c r="U244" s="90"/>
      <c r="V244" s="91">
        <f>MAX(K244:U248)</f>
        <v>436.5625</v>
      </c>
      <c r="W244" s="91" t="s">
        <v>413</v>
      </c>
    </row>
    <row r="245" spans="1:23" x14ac:dyDescent="0.35">
      <c r="B245" s="89" t="s">
        <v>358</v>
      </c>
      <c r="C245" t="s">
        <v>372</v>
      </c>
      <c r="D245">
        <v>25</v>
      </c>
      <c r="E245">
        <v>60</v>
      </c>
      <c r="F245" t="s">
        <v>406</v>
      </c>
      <c r="G245" t="s">
        <v>115</v>
      </c>
      <c r="H245" t="s">
        <v>19</v>
      </c>
      <c r="I245" s="6" t="s">
        <v>140</v>
      </c>
      <c r="K245" s="89">
        <v>250</v>
      </c>
      <c r="L245" s="36">
        <v>274.08637873754157</v>
      </c>
      <c r="M245" s="36">
        <v>343.52459016393442</v>
      </c>
      <c r="N245" s="36">
        <v>351.78571428571428</v>
      </c>
      <c r="O245" s="36">
        <v>370.77814569536423</v>
      </c>
      <c r="P245" s="36">
        <v>348.05084745762707</v>
      </c>
      <c r="Q245" s="36">
        <v>318.22916666666669</v>
      </c>
      <c r="R245" s="36">
        <v>246.01910828025476</v>
      </c>
      <c r="S245" s="36">
        <v>194.39189189189187</v>
      </c>
      <c r="T245" s="36">
        <v>105.28169014084507</v>
      </c>
      <c r="U245" s="93">
        <v>0.16666666666666666</v>
      </c>
      <c r="V245" s="94"/>
      <c r="W245" s="94"/>
    </row>
    <row r="246" spans="1:23" x14ac:dyDescent="0.35">
      <c r="B246" s="89" t="s">
        <v>358</v>
      </c>
      <c r="C246" t="s">
        <v>372</v>
      </c>
      <c r="D246">
        <v>25</v>
      </c>
      <c r="E246">
        <v>60</v>
      </c>
      <c r="F246" t="s">
        <v>406</v>
      </c>
      <c r="G246" t="s">
        <v>116</v>
      </c>
      <c r="H246" t="s">
        <v>19</v>
      </c>
      <c r="I246" s="6" t="s">
        <v>140</v>
      </c>
      <c r="K246" s="89">
        <v>210</v>
      </c>
      <c r="L246" s="36">
        <v>195.35294117647058</v>
      </c>
      <c r="M246" s="36">
        <v>170</v>
      </c>
      <c r="N246" s="36">
        <v>122</v>
      </c>
      <c r="O246" s="36">
        <v>78.666666666666671</v>
      </c>
      <c r="P246" s="36">
        <v>36.5</v>
      </c>
      <c r="Q246" s="36">
        <v>1</v>
      </c>
      <c r="R246" s="36"/>
      <c r="S246" s="36"/>
      <c r="T246" s="36"/>
      <c r="U246" s="93"/>
      <c r="V246" s="94"/>
      <c r="W246" s="94"/>
    </row>
    <row r="247" spans="1:23" x14ac:dyDescent="0.35">
      <c r="B247" s="89" t="s">
        <v>358</v>
      </c>
      <c r="C247" t="s">
        <v>372</v>
      </c>
      <c r="D247">
        <v>25</v>
      </c>
      <c r="E247">
        <v>60</v>
      </c>
      <c r="F247" t="s">
        <v>406</v>
      </c>
      <c r="G247" t="s">
        <v>117</v>
      </c>
      <c r="H247" t="s">
        <v>19</v>
      </c>
      <c r="I247" s="6" t="s">
        <v>140</v>
      </c>
      <c r="K247" s="39">
        <v>426</v>
      </c>
      <c r="L247" s="1">
        <v>430.18134715025911</v>
      </c>
      <c r="M247" s="1">
        <v>436.5625</v>
      </c>
      <c r="N247" s="1">
        <v>434.55882352941177</v>
      </c>
      <c r="O247" s="1">
        <v>432.33590733590728</v>
      </c>
      <c r="P247" s="1">
        <v>426.03734439834028</v>
      </c>
      <c r="Q247" s="1">
        <v>420.41284403669721</v>
      </c>
      <c r="R247" s="1">
        <v>406.57894736842104</v>
      </c>
      <c r="S247" s="1">
        <v>397.37569060773484</v>
      </c>
      <c r="T247" s="1">
        <v>370.66115702479334</v>
      </c>
      <c r="U247" s="102">
        <v>352.94117647058823</v>
      </c>
      <c r="V247" s="91"/>
      <c r="W247" s="91"/>
    </row>
    <row r="248" spans="1:23" x14ac:dyDescent="0.35">
      <c r="B248" s="95" t="s">
        <v>358</v>
      </c>
      <c r="C248" s="96" t="s">
        <v>372</v>
      </c>
      <c r="D248" s="96">
        <v>25</v>
      </c>
      <c r="E248" s="96">
        <v>60</v>
      </c>
      <c r="F248" s="96" t="s">
        <v>406</v>
      </c>
      <c r="G248" s="96" t="s">
        <v>118</v>
      </c>
      <c r="H248" s="96" t="s">
        <v>19</v>
      </c>
      <c r="I248" s="97" t="s">
        <v>140</v>
      </c>
      <c r="J248" s="98"/>
      <c r="K248" s="95"/>
      <c r="L248" s="96"/>
      <c r="M248" s="96"/>
      <c r="N248" s="96"/>
      <c r="O248" s="96"/>
      <c r="P248" s="96"/>
      <c r="Q248" s="96"/>
      <c r="R248" s="96"/>
      <c r="S248" s="96"/>
      <c r="T248" s="96"/>
      <c r="U248" s="99"/>
      <c r="V248" s="100"/>
      <c r="W248" s="100"/>
    </row>
    <row r="249" spans="1:23" x14ac:dyDescent="0.35">
      <c r="A249">
        <v>28</v>
      </c>
      <c r="B249" s="89" t="s">
        <v>358</v>
      </c>
      <c r="C249" t="s">
        <v>372</v>
      </c>
      <c r="D249">
        <v>25</v>
      </c>
      <c r="E249">
        <v>85</v>
      </c>
      <c r="F249" t="s">
        <v>406</v>
      </c>
      <c r="G249" t="s">
        <v>44</v>
      </c>
      <c r="H249" t="s">
        <v>46</v>
      </c>
      <c r="I249" s="6" t="s">
        <v>12</v>
      </c>
      <c r="J249" s="7">
        <v>3.3719999999999999</v>
      </c>
      <c r="K249" s="89"/>
      <c r="U249" s="90"/>
      <c r="V249" s="91">
        <f>MAX(K249:U253)</f>
        <v>450</v>
      </c>
      <c r="W249" s="91" t="s">
        <v>413</v>
      </c>
    </row>
    <row r="250" spans="1:23" x14ac:dyDescent="0.35">
      <c r="B250" s="89" t="s">
        <v>358</v>
      </c>
      <c r="C250" t="s">
        <v>372</v>
      </c>
      <c r="D250">
        <v>25</v>
      </c>
      <c r="E250">
        <v>85</v>
      </c>
      <c r="F250" t="s">
        <v>406</v>
      </c>
      <c r="G250" t="s">
        <v>115</v>
      </c>
      <c r="H250" t="s">
        <v>19</v>
      </c>
      <c r="I250" s="6" t="s">
        <v>12</v>
      </c>
      <c r="K250" s="89">
        <v>265.10695187165777</v>
      </c>
      <c r="L250" s="36">
        <v>275.41806020066889</v>
      </c>
      <c r="M250" s="36">
        <v>289.5251396648045</v>
      </c>
      <c r="N250" s="36">
        <v>305.92105263157896</v>
      </c>
      <c r="O250" s="36">
        <v>307.23140495867767</v>
      </c>
      <c r="P250" s="36">
        <v>317.09401709401709</v>
      </c>
      <c r="Q250" s="36">
        <v>302.57142857142856</v>
      </c>
      <c r="R250" s="36">
        <v>278.4375</v>
      </c>
      <c r="S250" s="36">
        <v>149.66666666666666</v>
      </c>
      <c r="T250" s="36">
        <v>0.16666666666666666</v>
      </c>
      <c r="U250" s="93"/>
      <c r="V250" s="94"/>
      <c r="W250" s="94"/>
    </row>
    <row r="251" spans="1:23" x14ac:dyDescent="0.35">
      <c r="B251" s="89" t="s">
        <v>358</v>
      </c>
      <c r="C251" t="s">
        <v>372</v>
      </c>
      <c r="D251">
        <v>25</v>
      </c>
      <c r="E251">
        <v>85</v>
      </c>
      <c r="F251" t="s">
        <v>406</v>
      </c>
      <c r="G251" t="s">
        <v>116</v>
      </c>
      <c r="H251" t="s">
        <v>19</v>
      </c>
      <c r="I251" s="6" t="s">
        <v>12</v>
      </c>
      <c r="K251" s="89">
        <v>203.17622950819671</v>
      </c>
      <c r="L251" s="36">
        <v>181.97004608294932</v>
      </c>
      <c r="M251" s="36">
        <v>114.84375</v>
      </c>
      <c r="N251" s="36">
        <v>63.255033557046978</v>
      </c>
      <c r="O251" s="36">
        <v>18.585526315789473</v>
      </c>
      <c r="P251" s="36">
        <v>0.16666666666666666</v>
      </c>
      <c r="Q251" s="36"/>
      <c r="R251" s="36"/>
      <c r="S251" s="36"/>
      <c r="T251" s="36"/>
      <c r="U251" s="93"/>
      <c r="V251" s="94"/>
      <c r="W251" s="94"/>
    </row>
    <row r="252" spans="1:23" x14ac:dyDescent="0.35">
      <c r="B252" s="89" t="s">
        <v>358</v>
      </c>
      <c r="C252" t="s">
        <v>372</v>
      </c>
      <c r="D252">
        <v>25</v>
      </c>
      <c r="E252">
        <v>85</v>
      </c>
      <c r="F252" t="s">
        <v>406</v>
      </c>
      <c r="G252" t="s">
        <v>117</v>
      </c>
      <c r="H252" t="s">
        <v>19</v>
      </c>
      <c r="I252" s="6" t="s">
        <v>12</v>
      </c>
      <c r="K252" s="39">
        <v>450</v>
      </c>
      <c r="L252" s="1">
        <v>447.16216216216213</v>
      </c>
      <c r="M252" s="1">
        <v>449.35897435897436</v>
      </c>
      <c r="N252" s="1">
        <v>447.45283018867923</v>
      </c>
      <c r="O252" s="1">
        <v>440.83333333333331</v>
      </c>
      <c r="P252" s="1">
        <v>444.10112359550561</v>
      </c>
      <c r="Q252" s="1">
        <v>439.24632352941177</v>
      </c>
      <c r="R252" s="1">
        <v>440.14423076923077</v>
      </c>
      <c r="S252" s="1">
        <v>441.68865435356201</v>
      </c>
      <c r="T252" s="1">
        <v>415.83333333333331</v>
      </c>
      <c r="U252" s="102">
        <v>401</v>
      </c>
      <c r="V252" s="91"/>
      <c r="W252" s="91"/>
    </row>
    <row r="253" spans="1:23" x14ac:dyDescent="0.35">
      <c r="B253" s="95" t="s">
        <v>358</v>
      </c>
      <c r="C253" s="96" t="s">
        <v>372</v>
      </c>
      <c r="D253" s="96">
        <v>25</v>
      </c>
      <c r="E253" s="96">
        <v>85</v>
      </c>
      <c r="F253" s="96" t="s">
        <v>406</v>
      </c>
      <c r="G253" s="96" t="s">
        <v>118</v>
      </c>
      <c r="H253" s="96" t="s">
        <v>19</v>
      </c>
      <c r="I253" s="97" t="s">
        <v>12</v>
      </c>
      <c r="J253" s="98"/>
      <c r="K253" s="95"/>
      <c r="L253" s="96"/>
      <c r="M253" s="96"/>
      <c r="N253" s="96"/>
      <c r="O253" s="96"/>
      <c r="P253" s="96"/>
      <c r="Q253" s="96"/>
      <c r="R253" s="96"/>
      <c r="S253" s="96"/>
      <c r="T253" s="96"/>
      <c r="U253" s="99"/>
      <c r="V253" s="100"/>
      <c r="W253" s="100"/>
    </row>
    <row r="254" spans="1:23" x14ac:dyDescent="0.35">
      <c r="A254">
        <v>29</v>
      </c>
      <c r="B254" s="89" t="s">
        <v>210</v>
      </c>
      <c r="C254" t="s">
        <v>370</v>
      </c>
      <c r="D254">
        <v>15</v>
      </c>
      <c r="E254">
        <v>65</v>
      </c>
      <c r="F254" t="s">
        <v>26</v>
      </c>
      <c r="G254" t="s">
        <v>44</v>
      </c>
      <c r="H254" t="s">
        <v>46</v>
      </c>
      <c r="I254" s="6" t="s">
        <v>20</v>
      </c>
      <c r="J254" s="7">
        <v>1.3859999999999999</v>
      </c>
      <c r="K254" s="89"/>
      <c r="U254" s="90"/>
      <c r="V254" s="91">
        <f>MAX(K254:U258)</f>
        <v>429.55857055405289</v>
      </c>
      <c r="W254" s="91" t="s">
        <v>413</v>
      </c>
    </row>
    <row r="255" spans="1:23" x14ac:dyDescent="0.35">
      <c r="B255" s="89" t="s">
        <v>210</v>
      </c>
      <c r="C255" t="s">
        <v>370</v>
      </c>
      <c r="D255">
        <v>15</v>
      </c>
      <c r="E255">
        <v>65</v>
      </c>
      <c r="F255" t="s">
        <v>26</v>
      </c>
      <c r="G255" t="s">
        <v>115</v>
      </c>
      <c r="H255" t="s">
        <v>19</v>
      </c>
      <c r="I255" s="6" t="s">
        <v>20</v>
      </c>
      <c r="K255" s="40">
        <v>366.38819253139809</v>
      </c>
      <c r="L255" s="36">
        <v>353.95346954887805</v>
      </c>
      <c r="M255" s="36">
        <v>336.86850969889622</v>
      </c>
      <c r="N255" s="36">
        <v>327.24643700012678</v>
      </c>
      <c r="O255" s="36">
        <v>304.12839017906708</v>
      </c>
      <c r="P255" s="36">
        <v>287.55078977694603</v>
      </c>
      <c r="Q255" s="36">
        <v>283.533763291968</v>
      </c>
      <c r="R255" s="36"/>
      <c r="S255" s="36"/>
      <c r="T255" s="36"/>
      <c r="U255" s="93"/>
      <c r="V255" s="94"/>
      <c r="W255" s="94"/>
    </row>
    <row r="256" spans="1:23" x14ac:dyDescent="0.35">
      <c r="B256" s="89" t="s">
        <v>210</v>
      </c>
      <c r="C256" t="s">
        <v>370</v>
      </c>
      <c r="D256">
        <v>15</v>
      </c>
      <c r="E256">
        <v>65</v>
      </c>
      <c r="F256" t="s">
        <v>26</v>
      </c>
      <c r="G256" t="s">
        <v>116</v>
      </c>
      <c r="H256" t="s">
        <v>19</v>
      </c>
      <c r="I256" s="6" t="s">
        <v>20</v>
      </c>
      <c r="K256" s="40">
        <v>331.32276247168517</v>
      </c>
      <c r="L256" s="36">
        <v>310.85410083898302</v>
      </c>
      <c r="M256" s="36">
        <v>292.17924182089416</v>
      </c>
      <c r="N256" s="36">
        <v>273.05132662557725</v>
      </c>
      <c r="O256" s="36">
        <v>253.0948743612706</v>
      </c>
      <c r="P256" s="36">
        <v>234.47294948111468</v>
      </c>
      <c r="Q256" s="36">
        <v>213.29610704314385</v>
      </c>
      <c r="R256" s="36"/>
      <c r="S256" s="36"/>
      <c r="T256" s="36"/>
      <c r="U256" s="93"/>
      <c r="V256" s="94"/>
      <c r="W256" s="94"/>
    </row>
    <row r="257" spans="1:23" x14ac:dyDescent="0.35">
      <c r="B257" s="89" t="s">
        <v>210</v>
      </c>
      <c r="C257" t="s">
        <v>370</v>
      </c>
      <c r="D257">
        <v>15</v>
      </c>
      <c r="E257">
        <v>65</v>
      </c>
      <c r="F257" t="s">
        <v>26</v>
      </c>
      <c r="G257" t="s">
        <v>117</v>
      </c>
      <c r="H257" t="s">
        <v>19</v>
      </c>
      <c r="I257" s="6" t="s">
        <v>20</v>
      </c>
      <c r="K257" s="39">
        <v>429.55857055405289</v>
      </c>
      <c r="L257" s="1">
        <v>409.8325210066194</v>
      </c>
      <c r="M257" s="1">
        <v>407.6502199080029</v>
      </c>
      <c r="N257" s="1">
        <v>410.19431860085336</v>
      </c>
      <c r="O257" s="1">
        <v>400.70970327647353</v>
      </c>
      <c r="P257" s="1">
        <v>410.35893957751671</v>
      </c>
      <c r="Q257" s="1">
        <v>385.38569767840312</v>
      </c>
      <c r="R257" s="1"/>
      <c r="S257" s="1"/>
      <c r="T257" s="1"/>
      <c r="U257" s="90"/>
      <c r="V257" s="101"/>
      <c r="W257" s="101"/>
    </row>
    <row r="258" spans="1:23" x14ac:dyDescent="0.35">
      <c r="B258" s="95" t="s">
        <v>210</v>
      </c>
      <c r="C258" s="96" t="s">
        <v>370</v>
      </c>
      <c r="D258" s="96">
        <v>15</v>
      </c>
      <c r="E258" s="96">
        <v>65</v>
      </c>
      <c r="F258" s="96" t="s">
        <v>26</v>
      </c>
      <c r="G258" s="96" t="s">
        <v>118</v>
      </c>
      <c r="H258" s="96" t="s">
        <v>19</v>
      </c>
      <c r="I258" s="97" t="s">
        <v>20</v>
      </c>
      <c r="J258" s="98"/>
      <c r="K258" s="95"/>
      <c r="L258" s="96"/>
      <c r="M258" s="96"/>
      <c r="N258" s="96"/>
      <c r="O258" s="96"/>
      <c r="P258" s="96"/>
      <c r="Q258" s="96"/>
      <c r="R258" s="96"/>
      <c r="S258" s="96"/>
      <c r="T258" s="96"/>
      <c r="U258" s="99"/>
      <c r="V258" s="100"/>
      <c r="W258" s="100"/>
    </row>
    <row r="259" spans="1:23" x14ac:dyDescent="0.35">
      <c r="A259">
        <v>30</v>
      </c>
      <c r="B259" s="89" t="s">
        <v>213</v>
      </c>
      <c r="C259" t="s">
        <v>372</v>
      </c>
      <c r="D259">
        <v>25</v>
      </c>
      <c r="E259">
        <v>65</v>
      </c>
      <c r="F259" t="s">
        <v>26</v>
      </c>
      <c r="G259" t="s">
        <v>44</v>
      </c>
      <c r="H259" t="s">
        <v>46</v>
      </c>
      <c r="I259" s="6" t="s">
        <v>20</v>
      </c>
      <c r="J259" s="7">
        <v>1.151</v>
      </c>
      <c r="K259" s="89"/>
      <c r="U259" s="90"/>
      <c r="V259" s="91">
        <f>MAX(K259:U263)</f>
        <v>396</v>
      </c>
      <c r="W259" s="91" t="s">
        <v>413</v>
      </c>
    </row>
    <row r="260" spans="1:23" x14ac:dyDescent="0.35">
      <c r="B260" s="89" t="s">
        <v>213</v>
      </c>
      <c r="C260" t="s">
        <v>372</v>
      </c>
      <c r="D260">
        <v>25</v>
      </c>
      <c r="E260">
        <v>65</v>
      </c>
      <c r="F260" t="s">
        <v>26</v>
      </c>
      <c r="G260" t="s">
        <v>115</v>
      </c>
      <c r="H260" t="s">
        <v>19</v>
      </c>
      <c r="I260" s="6" t="s">
        <v>20</v>
      </c>
      <c r="K260" s="40">
        <v>169.45062605571496</v>
      </c>
      <c r="L260" s="36">
        <v>189.62834292331632</v>
      </c>
      <c r="M260" s="36">
        <v>195.58498896247241</v>
      </c>
      <c r="N260" s="36">
        <v>214.12803532008832</v>
      </c>
      <c r="O260" s="36">
        <v>223.69389256806477</v>
      </c>
      <c r="P260" s="36">
        <v>238.06120666380804</v>
      </c>
      <c r="Q260" s="36">
        <v>244.05496849093214</v>
      </c>
      <c r="R260" s="36">
        <v>184.54746136865342</v>
      </c>
      <c r="S260" s="36">
        <v>150</v>
      </c>
      <c r="T260" s="36">
        <v>130</v>
      </c>
      <c r="U260" s="93">
        <v>100</v>
      </c>
      <c r="V260" s="94"/>
      <c r="W260" s="94"/>
    </row>
    <row r="261" spans="1:23" x14ac:dyDescent="0.35">
      <c r="B261" s="89" t="s">
        <v>213</v>
      </c>
      <c r="C261" t="s">
        <v>372</v>
      </c>
      <c r="D261">
        <v>25</v>
      </c>
      <c r="E261">
        <v>65</v>
      </c>
      <c r="F261" t="s">
        <v>26</v>
      </c>
      <c r="G261" t="s">
        <v>116</v>
      </c>
      <c r="H261" t="s">
        <v>19</v>
      </c>
      <c r="I261" s="6" t="s">
        <v>20</v>
      </c>
      <c r="K261" s="40">
        <v>226.95543225344548</v>
      </c>
      <c r="L261" s="36">
        <v>216.21175548265973</v>
      </c>
      <c r="M261" s="36">
        <v>186.31346578366447</v>
      </c>
      <c r="N261" s="36">
        <v>149.96320824135393</v>
      </c>
      <c r="O261" s="36">
        <v>107.57910228108904</v>
      </c>
      <c r="P261" s="36">
        <v>71.523178807947019</v>
      </c>
      <c r="Q261" s="36">
        <v>35.76158940397351</v>
      </c>
      <c r="R261" s="36">
        <v>1</v>
      </c>
      <c r="S261" s="36"/>
      <c r="T261" s="36"/>
      <c r="U261" s="93"/>
      <c r="V261" s="94"/>
      <c r="W261" s="94"/>
    </row>
    <row r="262" spans="1:23" x14ac:dyDescent="0.35">
      <c r="B262" s="89" t="s">
        <v>213</v>
      </c>
      <c r="C262" t="s">
        <v>372</v>
      </c>
      <c r="D262">
        <v>25</v>
      </c>
      <c r="E262">
        <v>65</v>
      </c>
      <c r="F262" t="s">
        <v>26</v>
      </c>
      <c r="G262" t="s">
        <v>117</v>
      </c>
      <c r="H262" t="s">
        <v>19</v>
      </c>
      <c r="I262" s="6" t="s">
        <v>20</v>
      </c>
      <c r="K262" s="39">
        <v>352.82987367132279</v>
      </c>
      <c r="L262" s="1">
        <v>350.52511873703929</v>
      </c>
      <c r="M262" s="1">
        <v>347.87843886605765</v>
      </c>
      <c r="N262" s="1">
        <v>344.84389782403031</v>
      </c>
      <c r="O262" s="1">
        <v>339.57064758433711</v>
      </c>
      <c r="P262" s="1">
        <v>334.24755279059912</v>
      </c>
      <c r="Q262" s="1">
        <v>331.56151969327294</v>
      </c>
      <c r="R262" s="1">
        <v>315.54343591741332</v>
      </c>
      <c r="S262" s="1">
        <v>330</v>
      </c>
      <c r="T262" s="1">
        <v>360</v>
      </c>
      <c r="U262" s="90">
        <v>396</v>
      </c>
      <c r="V262" s="101"/>
      <c r="W262" s="101"/>
    </row>
    <row r="263" spans="1:23" x14ac:dyDescent="0.35">
      <c r="B263" s="95" t="s">
        <v>213</v>
      </c>
      <c r="C263" s="96" t="s">
        <v>372</v>
      </c>
      <c r="D263" s="96">
        <v>25</v>
      </c>
      <c r="E263" s="96">
        <v>65</v>
      </c>
      <c r="F263" s="96" t="s">
        <v>26</v>
      </c>
      <c r="G263" s="96" t="s">
        <v>118</v>
      </c>
      <c r="H263" s="96" t="s">
        <v>19</v>
      </c>
      <c r="I263" s="97" t="s">
        <v>20</v>
      </c>
      <c r="J263" s="98"/>
      <c r="K263" s="95"/>
      <c r="L263" s="96"/>
      <c r="M263" s="96"/>
      <c r="N263" s="96"/>
      <c r="O263" s="96"/>
      <c r="P263" s="96"/>
      <c r="Q263" s="96"/>
      <c r="R263" s="96"/>
      <c r="S263" s="96"/>
      <c r="T263" s="96"/>
      <c r="U263" s="99"/>
      <c r="V263" s="100"/>
      <c r="W263" s="100"/>
    </row>
    <row r="264" spans="1:23" x14ac:dyDescent="0.35">
      <c r="A264">
        <v>31</v>
      </c>
      <c r="B264" s="89" t="s">
        <v>213</v>
      </c>
      <c r="C264" t="s">
        <v>372</v>
      </c>
      <c r="D264">
        <v>25</v>
      </c>
      <c r="E264">
        <v>85</v>
      </c>
      <c r="F264" t="s">
        <v>26</v>
      </c>
      <c r="G264" t="s">
        <v>44</v>
      </c>
      <c r="H264" t="s">
        <v>46</v>
      </c>
      <c r="I264" s="6" t="s">
        <v>12</v>
      </c>
      <c r="J264" s="7">
        <v>2.782</v>
      </c>
      <c r="K264" s="89"/>
      <c r="U264" s="90"/>
      <c r="V264" s="91">
        <f>MAX(K264:U268)</f>
        <v>495.80573951434877</v>
      </c>
      <c r="W264" s="91" t="s">
        <v>413</v>
      </c>
    </row>
    <row r="265" spans="1:23" x14ac:dyDescent="0.35">
      <c r="B265" s="89" t="s">
        <v>213</v>
      </c>
      <c r="C265" t="s">
        <v>372</v>
      </c>
      <c r="D265">
        <v>25</v>
      </c>
      <c r="E265">
        <v>85</v>
      </c>
      <c r="F265" t="s">
        <v>26</v>
      </c>
      <c r="G265" t="s">
        <v>115</v>
      </c>
      <c r="H265" t="s">
        <v>19</v>
      </c>
      <c r="I265" s="6" t="s">
        <v>12</v>
      </c>
      <c r="K265" s="40">
        <v>113.15865246184855</v>
      </c>
      <c r="L265" s="36">
        <v>194.28487797738833</v>
      </c>
      <c r="M265" s="36">
        <v>169.35554453423578</v>
      </c>
      <c r="N265" s="36">
        <v>152.24817009410947</v>
      </c>
      <c r="O265" s="36">
        <v>217.93844293527931</v>
      </c>
      <c r="P265" s="36">
        <v>226.13471167824261</v>
      </c>
      <c r="Q265" s="36">
        <v>212.44221600707175</v>
      </c>
      <c r="R265" s="36">
        <v>160.81133252160487</v>
      </c>
      <c r="S265" s="36">
        <v>104.48859455481973</v>
      </c>
      <c r="T265" s="36">
        <v>55.356702943179677</v>
      </c>
      <c r="U265" s="93">
        <v>0</v>
      </c>
      <c r="V265" s="94"/>
      <c r="W265" s="94"/>
    </row>
    <row r="266" spans="1:23" x14ac:dyDescent="0.35">
      <c r="B266" s="89" t="s">
        <v>213</v>
      </c>
      <c r="C266" t="s">
        <v>372</v>
      </c>
      <c r="D266">
        <v>25</v>
      </c>
      <c r="E266">
        <v>85</v>
      </c>
      <c r="F266" t="s">
        <v>26</v>
      </c>
      <c r="G266" t="s">
        <v>116</v>
      </c>
      <c r="H266" t="s">
        <v>19</v>
      </c>
      <c r="I266" s="6" t="s">
        <v>12</v>
      </c>
      <c r="K266" s="40">
        <v>101.18667428648268</v>
      </c>
      <c r="L266" s="36">
        <v>201.32450331125827</v>
      </c>
      <c r="M266" s="36">
        <v>197.65440382763953</v>
      </c>
      <c r="N266" s="36">
        <v>116.62661900017582</v>
      </c>
      <c r="O266" s="36">
        <v>72.179621238526778</v>
      </c>
      <c r="P266" s="36">
        <v>26.141512722202858</v>
      </c>
      <c r="Q266" s="36">
        <v>0.14491283492978974</v>
      </c>
      <c r="R266" s="36"/>
      <c r="S266" s="36"/>
      <c r="T266" s="36"/>
      <c r="U266" s="93"/>
      <c r="V266" s="94"/>
      <c r="W266" s="94"/>
    </row>
    <row r="267" spans="1:23" x14ac:dyDescent="0.35">
      <c r="B267" s="89" t="s">
        <v>213</v>
      </c>
      <c r="C267" t="s">
        <v>372</v>
      </c>
      <c r="D267">
        <v>25</v>
      </c>
      <c r="E267">
        <v>85</v>
      </c>
      <c r="F267" t="s">
        <v>26</v>
      </c>
      <c r="G267" t="s">
        <v>117</v>
      </c>
      <c r="H267" t="s">
        <v>19</v>
      </c>
      <c r="I267" s="6" t="s">
        <v>12</v>
      </c>
      <c r="K267" s="39">
        <v>182.83904405413188</v>
      </c>
      <c r="L267" s="1">
        <v>366.30794701986753</v>
      </c>
      <c r="M267" s="1">
        <v>354.23970912868458</v>
      </c>
      <c r="N267" s="1">
        <v>346.42694909986375</v>
      </c>
      <c r="O267" s="1">
        <v>358.52934459922358</v>
      </c>
      <c r="P267" s="1">
        <v>357.88805225437721</v>
      </c>
      <c r="Q267" s="1">
        <v>357.0400230348402</v>
      </c>
      <c r="R267" s="1">
        <v>339.65482640979332</v>
      </c>
      <c r="S267" s="1">
        <v>368.98966419601476</v>
      </c>
      <c r="T267" s="1">
        <v>433.23511392478923</v>
      </c>
      <c r="U267" s="102">
        <v>495.80573951434877</v>
      </c>
      <c r="V267" s="101"/>
      <c r="W267" s="101"/>
    </row>
    <row r="268" spans="1:23" x14ac:dyDescent="0.35">
      <c r="B268" s="95" t="s">
        <v>213</v>
      </c>
      <c r="C268" s="96" t="s">
        <v>372</v>
      </c>
      <c r="D268" s="96">
        <v>25</v>
      </c>
      <c r="E268" s="96">
        <v>85</v>
      </c>
      <c r="F268" s="96" t="s">
        <v>26</v>
      </c>
      <c r="G268" s="96" t="s">
        <v>118</v>
      </c>
      <c r="H268" s="96" t="s">
        <v>19</v>
      </c>
      <c r="I268" s="97" t="s">
        <v>12</v>
      </c>
      <c r="J268" s="98"/>
      <c r="K268" s="95"/>
      <c r="L268" s="96"/>
      <c r="M268" s="96"/>
      <c r="N268" s="96"/>
      <c r="O268" s="96"/>
      <c r="P268" s="96"/>
      <c r="Q268" s="96"/>
      <c r="R268" s="96"/>
      <c r="S268" s="96"/>
      <c r="T268" s="96"/>
      <c r="U268" s="99"/>
      <c r="V268" s="100"/>
      <c r="W268" s="100"/>
    </row>
    <row r="269" spans="1:23" x14ac:dyDescent="0.35">
      <c r="A269">
        <v>32</v>
      </c>
      <c r="B269" s="89" t="s">
        <v>208</v>
      </c>
      <c r="C269" t="s">
        <v>372</v>
      </c>
      <c r="D269">
        <v>25</v>
      </c>
      <c r="E269">
        <v>65</v>
      </c>
      <c r="F269" t="s">
        <v>402</v>
      </c>
      <c r="G269" t="s">
        <v>44</v>
      </c>
      <c r="H269" t="s">
        <v>46</v>
      </c>
      <c r="I269" s="6" t="s">
        <v>142</v>
      </c>
      <c r="J269" s="7">
        <v>1.1100000000000001</v>
      </c>
      <c r="K269" s="89"/>
      <c r="U269" s="90"/>
      <c r="V269" s="91">
        <f>MAX(K269:U273)</f>
        <v>392.44296744571767</v>
      </c>
      <c r="W269" s="91" t="s">
        <v>140</v>
      </c>
    </row>
    <row r="270" spans="1:23" x14ac:dyDescent="0.35">
      <c r="B270" s="89" t="s">
        <v>208</v>
      </c>
      <c r="C270" t="s">
        <v>372</v>
      </c>
      <c r="D270">
        <v>25</v>
      </c>
      <c r="E270">
        <v>65</v>
      </c>
      <c r="F270" t="s">
        <v>402</v>
      </c>
      <c r="G270" t="s">
        <v>115</v>
      </c>
      <c r="H270" t="s">
        <v>19</v>
      </c>
      <c r="I270" s="6" t="s">
        <v>142</v>
      </c>
      <c r="K270" s="40">
        <v>97.996259684744857</v>
      </c>
      <c r="L270" s="36">
        <v>156.29174458990116</v>
      </c>
      <c r="M270" s="36">
        <v>172.4819663371627</v>
      </c>
      <c r="N270" s="36">
        <v>139.88779054234573</v>
      </c>
      <c r="O270" s="36">
        <v>130.32327010419451</v>
      </c>
      <c r="P270" s="36">
        <v>117.55276516163505</v>
      </c>
      <c r="Q270" s="36">
        <v>87.790542345711998</v>
      </c>
      <c r="R270" s="36"/>
      <c r="S270" s="36"/>
      <c r="T270" s="36"/>
      <c r="U270" s="93"/>
      <c r="V270" s="94"/>
      <c r="W270" s="94"/>
    </row>
    <row r="271" spans="1:23" x14ac:dyDescent="0.35">
      <c r="B271" s="89" t="s">
        <v>208</v>
      </c>
      <c r="C271" t="s">
        <v>372</v>
      </c>
      <c r="D271">
        <v>25</v>
      </c>
      <c r="E271">
        <v>65</v>
      </c>
      <c r="F271" t="s">
        <v>402</v>
      </c>
      <c r="G271" t="s">
        <v>116</v>
      </c>
      <c r="H271" t="s">
        <v>19</v>
      </c>
      <c r="I271" s="6" t="s">
        <v>142</v>
      </c>
      <c r="K271" s="40">
        <v>240.24901885181055</v>
      </c>
      <c r="L271" s="36">
        <v>241.89153085760086</v>
      </c>
      <c r="M271" s="36">
        <v>144.80363344910501</v>
      </c>
      <c r="N271" s="36">
        <v>94.950574405557035</v>
      </c>
      <c r="O271" s="36">
        <v>57.868020304568532</v>
      </c>
      <c r="P271" s="36">
        <v>44.082286935613148</v>
      </c>
      <c r="Q271" s="36">
        <v>1</v>
      </c>
      <c r="R271" s="36"/>
      <c r="S271" s="36"/>
      <c r="T271" s="36"/>
      <c r="U271" s="93"/>
      <c r="V271" s="94"/>
      <c r="W271" s="94"/>
    </row>
    <row r="272" spans="1:23" x14ac:dyDescent="0.35">
      <c r="B272" s="89" t="s">
        <v>208</v>
      </c>
      <c r="C272" t="s">
        <v>372</v>
      </c>
      <c r="D272">
        <v>25</v>
      </c>
      <c r="E272">
        <v>65</v>
      </c>
      <c r="F272" t="s">
        <v>402</v>
      </c>
      <c r="G272" t="s">
        <v>117</v>
      </c>
      <c r="H272" t="s">
        <v>19</v>
      </c>
      <c r="I272" s="6" t="s">
        <v>142</v>
      </c>
      <c r="K272" s="39">
        <v>392.44296744571767</v>
      </c>
      <c r="L272" s="1">
        <v>387.37077895345328</v>
      </c>
      <c r="M272" s="1">
        <v>386.31606002089978</v>
      </c>
      <c r="N272" s="1">
        <v>358.94627614272241</v>
      </c>
      <c r="O272" s="1">
        <v>372.2675020769363</v>
      </c>
      <c r="P272" s="1">
        <v>374.12539442996297</v>
      </c>
      <c r="Q272" s="1">
        <v>359.26604980696794</v>
      </c>
      <c r="R272" s="1"/>
      <c r="S272" s="1"/>
      <c r="T272" s="1"/>
      <c r="U272" s="102"/>
      <c r="V272" s="91"/>
      <c r="W272" s="91"/>
    </row>
    <row r="273" spans="2:26" x14ac:dyDescent="0.35">
      <c r="B273" s="95" t="s">
        <v>208</v>
      </c>
      <c r="C273" s="96" t="s">
        <v>372</v>
      </c>
      <c r="D273" s="96">
        <v>25</v>
      </c>
      <c r="E273" s="96">
        <v>65</v>
      </c>
      <c r="F273" s="96" t="s">
        <v>402</v>
      </c>
      <c r="G273" s="96" t="s">
        <v>118</v>
      </c>
      <c r="H273" s="96" t="s">
        <v>19</v>
      </c>
      <c r="I273" s="97" t="s">
        <v>142</v>
      </c>
      <c r="J273" s="98"/>
      <c r="K273" s="95"/>
      <c r="L273" s="96"/>
      <c r="M273" s="96"/>
      <c r="N273" s="96"/>
      <c r="O273" s="96"/>
      <c r="P273" s="96"/>
      <c r="Q273" s="96"/>
      <c r="R273" s="96"/>
      <c r="S273" s="96"/>
      <c r="T273" s="96"/>
      <c r="U273" s="99"/>
      <c r="V273" s="100"/>
      <c r="W273" s="100"/>
    </row>
    <row r="274" spans="2:26" x14ac:dyDescent="0.35">
      <c r="B274" s="89"/>
      <c r="K274" s="39"/>
      <c r="L274" s="1"/>
      <c r="M274" s="1"/>
      <c r="N274" s="1"/>
      <c r="O274" s="1"/>
      <c r="P274" s="1"/>
      <c r="Q274" s="1"/>
      <c r="R274" s="1"/>
      <c r="S274" s="1"/>
      <c r="T274" s="36"/>
      <c r="U274" s="93"/>
      <c r="V274" s="94"/>
      <c r="W274" s="94"/>
      <c r="Z274" s="92"/>
    </row>
    <row r="275" spans="2:26" x14ac:dyDescent="0.35">
      <c r="B275" s="89"/>
      <c r="K275" s="39"/>
      <c r="L275" s="1"/>
      <c r="M275" s="1"/>
      <c r="N275" s="1"/>
      <c r="O275" s="1"/>
      <c r="P275" s="1"/>
      <c r="Q275" s="1"/>
      <c r="R275" s="1"/>
      <c r="S275" s="1"/>
      <c r="T275" s="36"/>
      <c r="U275" s="93"/>
      <c r="V275" s="94"/>
      <c r="W275" s="94"/>
    </row>
    <row r="276" spans="2:26" x14ac:dyDescent="0.35">
      <c r="B276" s="89"/>
      <c r="K276" s="39"/>
      <c r="L276" s="1"/>
      <c r="M276" s="1"/>
      <c r="N276" s="1"/>
      <c r="O276" s="1"/>
      <c r="P276" s="1"/>
      <c r="Q276" s="1"/>
      <c r="R276" s="1"/>
      <c r="S276" s="1"/>
      <c r="T276" s="36"/>
      <c r="U276" s="93"/>
      <c r="V276" s="94"/>
      <c r="W276" s="94"/>
    </row>
    <row r="277" spans="2:26" x14ac:dyDescent="0.35">
      <c r="B277" s="89"/>
      <c r="K277" s="39"/>
      <c r="L277" s="1"/>
      <c r="M277" s="1"/>
      <c r="N277" s="1"/>
      <c r="O277" s="1"/>
      <c r="P277" s="1"/>
      <c r="Q277" s="1"/>
      <c r="R277" s="1"/>
      <c r="S277" s="1"/>
      <c r="T277" s="36"/>
      <c r="U277" s="93"/>
      <c r="V277" s="94"/>
      <c r="W277" s="94"/>
    </row>
    <row r="278" spans="2:26" x14ac:dyDescent="0.35">
      <c r="B278" s="95"/>
      <c r="C278" s="96"/>
      <c r="D278" s="96"/>
      <c r="E278" s="96"/>
      <c r="F278" s="96"/>
      <c r="G278" s="96"/>
      <c r="H278" s="96"/>
      <c r="I278" s="97"/>
      <c r="J278" s="98"/>
      <c r="K278" s="103"/>
      <c r="L278" s="104"/>
      <c r="M278" s="104"/>
      <c r="N278" s="104"/>
      <c r="O278" s="104"/>
      <c r="P278" s="104"/>
      <c r="Q278" s="104"/>
      <c r="R278" s="104"/>
      <c r="S278" s="104"/>
      <c r="T278" s="104"/>
      <c r="U278" s="105"/>
      <c r="V278" s="106"/>
      <c r="W278" s="106"/>
    </row>
    <row r="279" spans="2:26" x14ac:dyDescent="0.35">
      <c r="B279" s="89"/>
      <c r="K279" s="39"/>
      <c r="L279" s="1"/>
      <c r="M279" s="1"/>
      <c r="N279" s="1"/>
      <c r="O279" s="1"/>
      <c r="P279" s="1"/>
      <c r="Q279" s="1"/>
      <c r="R279" s="1"/>
      <c r="S279" s="1"/>
      <c r="T279" s="36"/>
      <c r="U279" s="93"/>
      <c r="V279" s="94"/>
      <c r="W279" s="94"/>
      <c r="Z279" s="92"/>
    </row>
    <row r="280" spans="2:26" x14ac:dyDescent="0.35">
      <c r="B280" s="89"/>
      <c r="K280" s="39"/>
      <c r="L280" s="1"/>
      <c r="M280" s="1"/>
      <c r="N280" s="1"/>
      <c r="O280" s="1"/>
      <c r="P280" s="1"/>
      <c r="Q280" s="1"/>
      <c r="R280" s="1"/>
      <c r="S280" s="1"/>
      <c r="T280" s="36"/>
      <c r="U280" s="93"/>
      <c r="V280" s="94"/>
      <c r="W280" s="94"/>
    </row>
    <row r="281" spans="2:26" x14ac:dyDescent="0.35">
      <c r="B281" s="89"/>
      <c r="K281" s="39"/>
      <c r="L281" s="1"/>
      <c r="M281" s="1"/>
      <c r="N281" s="1"/>
      <c r="O281" s="1"/>
      <c r="P281" s="1"/>
      <c r="Q281" s="1"/>
      <c r="R281" s="1"/>
      <c r="S281" s="1"/>
      <c r="T281" s="36"/>
      <c r="U281" s="93"/>
      <c r="V281" s="94"/>
      <c r="W281" s="94"/>
    </row>
    <row r="282" spans="2:26" x14ac:dyDescent="0.35">
      <c r="B282" s="89"/>
      <c r="K282" s="39"/>
      <c r="L282" s="1"/>
      <c r="M282" s="1"/>
      <c r="N282" s="1"/>
      <c r="O282" s="1"/>
      <c r="P282" s="1"/>
      <c r="Q282" s="1"/>
      <c r="R282" s="1"/>
      <c r="S282" s="1"/>
      <c r="T282" s="36"/>
      <c r="U282" s="93"/>
      <c r="V282" s="94"/>
      <c r="W282" s="94"/>
    </row>
    <row r="283" spans="2:26" x14ac:dyDescent="0.35">
      <c r="B283" s="95"/>
      <c r="C283" s="96"/>
      <c r="D283" s="96"/>
      <c r="E283" s="96"/>
      <c r="F283" s="96"/>
      <c r="G283" s="96"/>
      <c r="H283" s="96"/>
      <c r="I283" s="97"/>
      <c r="J283" s="98"/>
      <c r="K283" s="103"/>
      <c r="L283" s="104"/>
      <c r="M283" s="104"/>
      <c r="N283" s="104"/>
      <c r="O283" s="104"/>
      <c r="P283" s="104"/>
      <c r="Q283" s="104"/>
      <c r="R283" s="104"/>
      <c r="S283" s="104"/>
      <c r="T283" s="104"/>
      <c r="U283" s="105"/>
      <c r="V283" s="106"/>
      <c r="W283" s="106"/>
    </row>
    <row r="284" spans="2:26" x14ac:dyDescent="0.35">
      <c r="B284" s="89"/>
      <c r="K284" s="40"/>
      <c r="L284" s="36"/>
      <c r="M284" s="36"/>
      <c r="N284" s="36"/>
      <c r="O284" s="36"/>
      <c r="P284" s="36"/>
      <c r="Q284" s="36"/>
      <c r="R284" s="36"/>
      <c r="S284" s="36"/>
      <c r="T284" s="36"/>
      <c r="U284" s="93"/>
      <c r="V284" s="94"/>
      <c r="W284" s="94"/>
    </row>
    <row r="285" spans="2:26" x14ac:dyDescent="0.35">
      <c r="B285" s="89"/>
      <c r="K285" s="89"/>
      <c r="U285" s="90"/>
      <c r="V285" s="101"/>
      <c r="W285" s="101"/>
    </row>
    <row r="286" spans="2:26" x14ac:dyDescent="0.35">
      <c r="B286" s="89"/>
      <c r="K286" s="89"/>
      <c r="U286" s="90"/>
      <c r="V286" s="101"/>
      <c r="W286" s="101"/>
    </row>
    <row r="287" spans="2:26" x14ac:dyDescent="0.35">
      <c r="B287" s="89"/>
      <c r="K287" s="89"/>
      <c r="U287" s="90"/>
      <c r="V287" s="101"/>
      <c r="W287" s="101"/>
    </row>
    <row r="288" spans="2:26" x14ac:dyDescent="0.35">
      <c r="B288" s="89"/>
      <c r="K288" s="89"/>
      <c r="U288" s="90"/>
      <c r="V288" s="101"/>
      <c r="W288" s="101"/>
    </row>
    <row r="289" spans="2:23" x14ac:dyDescent="0.35">
      <c r="B289" s="95"/>
      <c r="C289" s="96"/>
      <c r="D289" s="96"/>
      <c r="E289" s="96"/>
      <c r="F289" s="96"/>
      <c r="G289" s="96"/>
      <c r="H289" s="96"/>
      <c r="I289" s="97"/>
      <c r="J289" s="98"/>
      <c r="K289" s="95"/>
      <c r="L289" s="96"/>
      <c r="M289" s="96"/>
      <c r="N289" s="96"/>
      <c r="O289" s="96"/>
      <c r="P289" s="96"/>
      <c r="Q289" s="96"/>
      <c r="R289" s="96"/>
      <c r="S289" s="96"/>
      <c r="T289" s="96"/>
      <c r="U289" s="99"/>
      <c r="V289" s="100"/>
      <c r="W289" s="100"/>
    </row>
  </sheetData>
  <sheetProtection selectLockedCells="1"/>
  <mergeCells count="1">
    <mergeCell ref="K2:U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V65"/>
  <sheetViews>
    <sheetView zoomScaleNormal="100" workbookViewId="0">
      <selection activeCell="C11" sqref="C11"/>
    </sheetView>
  </sheetViews>
  <sheetFormatPr defaultColWidth="8.81640625" defaultRowHeight="14.5" x14ac:dyDescent="0.35"/>
  <cols>
    <col min="1" max="1" width="1.81640625" customWidth="1"/>
    <col min="2" max="2" width="11.453125" customWidth="1"/>
    <col min="3" max="3" width="22.7265625" customWidth="1"/>
    <col min="4" max="4" width="9.453125" customWidth="1"/>
    <col min="10" max="10" width="10.453125" customWidth="1"/>
    <col min="11" max="11" width="2.81640625" style="6" customWidth="1"/>
  </cols>
  <sheetData>
    <row r="1" spans="2:12" x14ac:dyDescent="0.35">
      <c r="B1" s="2" t="s">
        <v>405</v>
      </c>
      <c r="I1" t="s">
        <v>404</v>
      </c>
    </row>
    <row r="2" spans="2:12" x14ac:dyDescent="0.35">
      <c r="B2" s="2" t="s">
        <v>211</v>
      </c>
    </row>
    <row r="3" spans="2:12" x14ac:dyDescent="0.35">
      <c r="B3" s="2" t="s">
        <v>22</v>
      </c>
      <c r="C3" s="2" t="s">
        <v>23</v>
      </c>
      <c r="D3" s="2" t="s">
        <v>24</v>
      </c>
      <c r="J3" s="6"/>
    </row>
    <row r="4" spans="2:12" x14ac:dyDescent="0.35">
      <c r="D4" s="6" t="s">
        <v>12</v>
      </c>
      <c r="E4" s="6" t="s">
        <v>20</v>
      </c>
      <c r="F4" s="6" t="s">
        <v>21</v>
      </c>
      <c r="G4" s="6" t="s">
        <v>73</v>
      </c>
      <c r="H4" s="6" t="s">
        <v>74</v>
      </c>
      <c r="I4" s="6" t="s">
        <v>264</v>
      </c>
      <c r="J4" s="6" t="s">
        <v>96</v>
      </c>
      <c r="L4" s="6" t="s">
        <v>410</v>
      </c>
    </row>
    <row r="5" spans="2:12" x14ac:dyDescent="0.35">
      <c r="B5" t="s">
        <v>71</v>
      </c>
      <c r="C5" t="s">
        <v>75</v>
      </c>
      <c r="D5" s="8">
        <v>-1.8E-3</v>
      </c>
      <c r="E5" s="8">
        <v>1.5743</v>
      </c>
      <c r="F5" s="8">
        <v>-2.2124999999999999</v>
      </c>
      <c r="G5">
        <v>500</v>
      </c>
      <c r="H5">
        <v>335</v>
      </c>
      <c r="I5" s="3">
        <v>0.35</v>
      </c>
      <c r="J5" s="136">
        <v>0.78947368421052633</v>
      </c>
    </row>
    <row r="6" spans="2:12" x14ac:dyDescent="0.35">
      <c r="B6" t="s">
        <v>71</v>
      </c>
      <c r="C6" t="s">
        <v>72</v>
      </c>
      <c r="D6" s="8">
        <v>-1.5E-3</v>
      </c>
      <c r="E6" s="8">
        <v>1.3939999999999999</v>
      </c>
      <c r="F6" s="8">
        <v>3.9098999999999999</v>
      </c>
      <c r="G6">
        <v>500</v>
      </c>
      <c r="H6">
        <v>319</v>
      </c>
      <c r="I6" s="3">
        <v>0.35</v>
      </c>
      <c r="J6" s="136">
        <v>0.69354838709677424</v>
      </c>
    </row>
    <row r="7" spans="2:12" x14ac:dyDescent="0.35">
      <c r="B7" s="37" t="s">
        <v>71</v>
      </c>
      <c r="C7" s="37" t="s">
        <v>25</v>
      </c>
      <c r="D7" s="141">
        <v>-1.8E-3</v>
      </c>
      <c r="E7" s="141">
        <v>1.5743</v>
      </c>
      <c r="F7" s="141">
        <v>-2.2124999999999999</v>
      </c>
      <c r="G7" s="37">
        <v>500</v>
      </c>
      <c r="H7" s="37">
        <v>335</v>
      </c>
      <c r="I7" s="136">
        <v>0.35</v>
      </c>
      <c r="J7" s="136">
        <v>0.69354838709677424</v>
      </c>
      <c r="L7" t="s">
        <v>409</v>
      </c>
    </row>
    <row r="8" spans="2:12" x14ac:dyDescent="0.35">
      <c r="B8" t="s">
        <v>71</v>
      </c>
      <c r="C8" t="s">
        <v>26</v>
      </c>
      <c r="D8" s="8">
        <v>-2.7000000000000001E-3</v>
      </c>
      <c r="E8" s="8">
        <v>1.4945999999999999</v>
      </c>
      <c r="F8" s="8">
        <v>1.4172</v>
      </c>
      <c r="G8">
        <v>300</v>
      </c>
      <c r="H8">
        <v>208</v>
      </c>
      <c r="I8" s="144">
        <v>0.35</v>
      </c>
      <c r="J8" s="136">
        <v>0.82608695652173914</v>
      </c>
    </row>
    <row r="9" spans="2:12" x14ac:dyDescent="0.35">
      <c r="B9" t="s">
        <v>71</v>
      </c>
      <c r="C9" t="s">
        <v>406</v>
      </c>
      <c r="D9" s="8">
        <v>-1.9E-3</v>
      </c>
      <c r="E9" s="8">
        <v>1.5357000000000001</v>
      </c>
      <c r="F9" s="8">
        <v>2.9134000000000002</v>
      </c>
      <c r="G9">
        <v>350</v>
      </c>
      <c r="H9">
        <v>300</v>
      </c>
      <c r="I9" s="3">
        <v>0.3</v>
      </c>
      <c r="J9" s="136">
        <v>0.7</v>
      </c>
    </row>
    <row r="10" spans="2:12" x14ac:dyDescent="0.35">
      <c r="B10" t="s">
        <v>71</v>
      </c>
      <c r="C10" t="s">
        <v>401</v>
      </c>
      <c r="D10" s="8">
        <v>-1.2999999999999999E-3</v>
      </c>
      <c r="E10" s="8">
        <v>1.4005000000000001</v>
      </c>
      <c r="F10" s="8">
        <v>-5.8433999999999999</v>
      </c>
      <c r="G10">
        <v>500</v>
      </c>
      <c r="H10">
        <v>375</v>
      </c>
      <c r="I10">
        <v>0.35</v>
      </c>
      <c r="J10" s="37">
        <v>0.79</v>
      </c>
    </row>
    <row r="11" spans="2:12" x14ac:dyDescent="0.35">
      <c r="B11" t="s">
        <v>71</v>
      </c>
      <c r="C11" t="s">
        <v>402</v>
      </c>
      <c r="D11" s="8">
        <v>-1.1999999999999999E-3</v>
      </c>
      <c r="E11" s="8">
        <v>1.0268999999999999</v>
      </c>
      <c r="F11" s="8">
        <v>4.6371000000000002</v>
      </c>
      <c r="G11">
        <v>450</v>
      </c>
      <c r="H11">
        <v>227</v>
      </c>
      <c r="I11" s="3">
        <v>0.3</v>
      </c>
      <c r="J11" s="37">
        <v>0.83</v>
      </c>
    </row>
    <row r="12" spans="2:12" x14ac:dyDescent="0.35">
      <c r="B12" t="s">
        <v>71</v>
      </c>
      <c r="C12" t="s">
        <v>403</v>
      </c>
      <c r="D12" s="8">
        <v>-6.9999999999999999E-4</v>
      </c>
      <c r="E12" s="8">
        <v>0.88729999999999998</v>
      </c>
      <c r="F12" s="8">
        <v>7.3468999999999998</v>
      </c>
      <c r="G12">
        <v>700</v>
      </c>
      <c r="H12">
        <v>312</v>
      </c>
      <c r="I12">
        <v>0.25</v>
      </c>
      <c r="J12" s="37">
        <v>0.83</v>
      </c>
    </row>
    <row r="14" spans="2:12" x14ac:dyDescent="0.35">
      <c r="C14" s="1">
        <v>100</v>
      </c>
      <c r="D14" s="1">
        <v>200</v>
      </c>
      <c r="E14" s="1">
        <v>300</v>
      </c>
      <c r="F14" s="1">
        <v>400</v>
      </c>
      <c r="G14" s="1">
        <v>500</v>
      </c>
      <c r="H14" s="1">
        <v>600</v>
      </c>
      <c r="I14" s="1">
        <v>700</v>
      </c>
      <c r="J14" s="1">
        <v>900</v>
      </c>
      <c r="K14" s="42" t="s">
        <v>19</v>
      </c>
    </row>
    <row r="15" spans="2:12" hidden="1" x14ac:dyDescent="0.35">
      <c r="C15" s="1">
        <f>($D$12*C14^2)+($E$12*C14)+($F$12)</f>
        <v>89.076900000000009</v>
      </c>
      <c r="D15" s="1">
        <f t="shared" ref="D15:J15" si="0">($D$12*D14^2)+($E$12*D14)+($F$12)</f>
        <v>156.80690000000001</v>
      </c>
      <c r="E15" s="1">
        <f t="shared" si="0"/>
        <v>210.5369</v>
      </c>
      <c r="F15" s="1">
        <f t="shared" si="0"/>
        <v>250.26690000000002</v>
      </c>
      <c r="G15" s="1">
        <f t="shared" si="0"/>
        <v>275.99689999999998</v>
      </c>
      <c r="H15" s="1">
        <f t="shared" si="0"/>
        <v>287.7269</v>
      </c>
      <c r="I15" s="1">
        <f t="shared" si="0"/>
        <v>285.45690000000002</v>
      </c>
      <c r="J15" s="1">
        <f t="shared" si="0"/>
        <v>238.91689999999994</v>
      </c>
      <c r="K15" s="42" t="s">
        <v>444</v>
      </c>
    </row>
    <row r="16" spans="2:12" x14ac:dyDescent="0.35">
      <c r="C16" s="3">
        <f>C15/C14</f>
        <v>0.89076900000000014</v>
      </c>
      <c r="D16" s="3">
        <f t="shared" ref="D16:J16" si="1">D15/D14</f>
        <v>0.78403450000000008</v>
      </c>
      <c r="E16" s="3">
        <f t="shared" si="1"/>
        <v>0.70178966666666664</v>
      </c>
      <c r="F16" s="3">
        <f t="shared" si="1"/>
        <v>0.62566725000000001</v>
      </c>
      <c r="G16" s="3">
        <f t="shared" si="1"/>
        <v>0.55199379999999998</v>
      </c>
      <c r="H16" s="3">
        <f t="shared" si="1"/>
        <v>0.47954483333333331</v>
      </c>
      <c r="I16" s="3">
        <f t="shared" si="1"/>
        <v>0.40779557142857148</v>
      </c>
      <c r="J16" s="3">
        <f t="shared" si="1"/>
        <v>0.26546322222222218</v>
      </c>
      <c r="K16" s="42" t="s">
        <v>266</v>
      </c>
    </row>
    <row r="21" spans="10:19" x14ac:dyDescent="0.35">
      <c r="J21" s="2"/>
      <c r="M21" s="2"/>
      <c r="P21" s="2"/>
      <c r="S21" s="2"/>
    </row>
    <row r="22" spans="10:19" x14ac:dyDescent="0.35">
      <c r="J22" s="2"/>
      <c r="M22" s="2"/>
      <c r="P22" s="2"/>
      <c r="S22" s="2"/>
    </row>
    <row r="64" spans="10:22" x14ac:dyDescent="0.35">
      <c r="J64" s="2"/>
      <c r="M64" s="2"/>
      <c r="P64" s="2"/>
      <c r="S64" s="2"/>
      <c r="V64" s="2"/>
    </row>
    <row r="65" spans="10:22" x14ac:dyDescent="0.35">
      <c r="J65" s="2"/>
      <c r="M65" s="2"/>
      <c r="P65" s="2"/>
      <c r="S65" s="2"/>
      <c r="V65" s="2"/>
    </row>
  </sheetData>
  <sheetProtection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27"/>
  <sheetViews>
    <sheetView workbookViewId="0">
      <selection activeCell="F10" sqref="F10"/>
    </sheetView>
  </sheetViews>
  <sheetFormatPr defaultColWidth="8.81640625" defaultRowHeight="14.5" x14ac:dyDescent="0.35"/>
  <cols>
    <col min="1" max="1" width="50.453125" style="4" customWidth="1"/>
    <col min="2" max="2" width="24.453125" style="4" customWidth="1"/>
    <col min="3" max="3" width="25.453125" style="4" customWidth="1"/>
    <col min="4" max="4" width="16.26953125" style="4" customWidth="1"/>
  </cols>
  <sheetData>
    <row r="1" spans="1:4" x14ac:dyDescent="0.35">
      <c r="A1" s="71" t="s">
        <v>106</v>
      </c>
      <c r="B1" s="71" t="s">
        <v>107</v>
      </c>
      <c r="C1" s="71" t="s">
        <v>108</v>
      </c>
      <c r="D1" s="71" t="s">
        <v>414</v>
      </c>
    </row>
    <row r="2" spans="1:4" x14ac:dyDescent="0.35">
      <c r="A2" s="4" t="str">
        <f t="array" aca="1" ref="A2" ca="1">INDEX(Lagging,MATCH(0,COUNTIF($A$1:A1,Lagging),0))</f>
        <v>Elastotec Diamond 15% Dimpled Ceramic</v>
      </c>
      <c r="B2" s="4" t="str">
        <f t="array" aca="1" ref="B2" ca="1">INDEX(Thickness,MATCH(0,COUNTIF($B$1:B1,Thickness)+(Lagging&lt;&gt;Analysis!$D$32),0))</f>
        <v>12mm (1/2")</v>
      </c>
      <c r="C2" s="4" cm="1">
        <f t="array" aca="1" ref="C2" ca="1">INDEX(Duro,MATCH(0,COUNTIF($C$1:C1,Duro)+(Lagging&lt;&gt;Analysis!$D$32)+(Thickness&lt;&gt;Analysis!$D$33),0))</f>
        <v>65</v>
      </c>
      <c r="D2" s="4" t="str">
        <f>IF(ISNUMBER(SEARCH("H",Analysis!$AG$35)),"Hot Vulcanized",IF(ISNUMBER(SEARCH("DB",Analysis!$AG$35)),"Direct Bond",""))</f>
        <v>Hot Vulcanized</v>
      </c>
    </row>
    <row r="3" spans="1:4" x14ac:dyDescent="0.35">
      <c r="A3" s="4" t="str">
        <f t="array" aca="1" ref="A3" ca="1">INDEX(Lagging,MATCH(0,COUNTIF($A$1:A2,Lagging),0))</f>
        <v>Elastotec Single Row 19% Dimpled Ceramic</v>
      </c>
      <c r="B3" s="4" t="str">
        <f t="array" aca="1" ref="B3" ca="1">INDEX(Thickness,MATCH(0,COUNTIF($B$1:B2,Thickness)+(Lagging&lt;&gt;Analysis!$D$32),0))</f>
        <v>15mm (5/8")</v>
      </c>
      <c r="C3" s="4" t="e" cm="1">
        <f t="array" aca="1" ref="C3" ca="1">INDEX(Duro,MATCH(0,COUNTIF($C$1:C2,Duro)+(Lagging&lt;&gt;Analysis!$D$32)+(Thickness&lt;&gt;Analysis!$D$33),0))</f>
        <v>#N/A</v>
      </c>
      <c r="D3" s="4" t="str">
        <f>IF(ISNUMBER(SEARCH("C",Analysis!$AG$35)),"Cold Bond","")</f>
        <v>Cold Bond</v>
      </c>
    </row>
    <row r="4" spans="1:4" x14ac:dyDescent="0.35">
      <c r="A4" s="4" t="str">
        <f t="array" aca="1" ref="A4" ca="1">INDEX(Lagging,MATCH(0,COUNTIF($A$1:A3,Lagging),0))</f>
        <v>Elastotec Checkerboard 20% Dimpled Ceramic</v>
      </c>
      <c r="B4" s="4" t="str">
        <f t="array" aca="1" ref="B4" ca="1">INDEX(Thickness,MATCH(0,COUNTIF($B$1:B3,Thickness)+(Lagging&lt;&gt;Analysis!$D$32),0))</f>
        <v>20mm (3/4")</v>
      </c>
      <c r="C4" s="4" t="e" cm="1">
        <f t="array" aca="1" ref="C4" ca="1">INDEX(Duro,MATCH(0,COUNTIF($C$1:C3,Duro)+(Lagging&lt;&gt;Analysis!$D$32)+(Thickness&lt;&gt;Analysis!$D$33),0))</f>
        <v>#N/A</v>
      </c>
    </row>
    <row r="5" spans="1:4" x14ac:dyDescent="0.35">
      <c r="A5" s="4" t="str">
        <f t="array" aca="1" ref="A5" ca="1">INDEX(Lagging,MATCH(0,COUNTIF($A$1:A4,Lagging),0))</f>
        <v>Elastotec Double Row 32% Round Dimpled Ceramic</v>
      </c>
      <c r="B5" s="4" t="str">
        <f t="array" aca="1" ref="B5" ca="1">INDEX(Thickness,MATCH(0,COUNTIF($B$1:B4,Thickness)+(Lagging&lt;&gt;Analysis!$D$32),0))</f>
        <v>25mm (1")</v>
      </c>
      <c r="C5" s="4" t="e" cm="1">
        <f t="array" aca="1" ref="C5" ca="1">INDEX(Duro,MATCH(0,COUNTIF($C$1:C4,Duro)+(Lagging&lt;&gt;Analysis!$D$32)+(Thickness&lt;&gt;Analysis!$D$33),0))</f>
        <v>#N/A</v>
      </c>
    </row>
    <row r="6" spans="1:4" x14ac:dyDescent="0.35">
      <c r="A6" s="4" t="str">
        <f t="array" aca="1" ref="A6" ca="1">INDEX(Lagging,MATCH(0,COUNTIF($A$1:A5,Lagging),0))</f>
        <v>Elastotec Medium Single Row 38% Dimpled Ceramic</v>
      </c>
      <c r="B6" s="4" t="e">
        <f t="array" aca="1" ref="B6" ca="1">INDEX(Thickness,MATCH(0,COUNTIF($B$1:B5,Thickness)+(Lagging&lt;&gt;Analysis!$D$32),0))</f>
        <v>#N/A</v>
      </c>
      <c r="C6" s="4" t="e" cm="1">
        <f t="array" aca="1" ref="C6" ca="1">INDEX(Duro,MATCH(0,COUNTIF($C$1:C5,Duro)+(Lagging&lt;&gt;Analysis!$D$32)+(Thickness&lt;&gt;Analysis!$D$33),0))</f>
        <v>#N/A</v>
      </c>
    </row>
    <row r="7" spans="1:4" x14ac:dyDescent="0.35">
      <c r="A7" s="4" t="str">
        <f t="array" aca="1" ref="A7" ca="1">INDEX(Lagging,MATCH(0,COUNTIF($A$1:A6,Lagging),0))</f>
        <v>Elastotec Medium Single Row 38% Smooth Ceramic</v>
      </c>
      <c r="B7" s="4" t="e">
        <f t="array" aca="1" ref="B7" ca="1">INDEX(Thickness,MATCH(0,COUNTIF($B$1:B6,Thickness)+(Lagging&lt;&gt;Analysis!$D$32),0))</f>
        <v>#N/A</v>
      </c>
      <c r="C7" s="4" t="e" cm="1">
        <f t="array" aca="1" ref="C7" ca="1">INDEX(Duro,MATCH(0,COUNTIF($C$1:C6,Duro)+(Lagging&lt;&gt;Analysis!$D$32)+(Thickness&lt;&gt;Analysis!$D$33),0))</f>
        <v>#N/A</v>
      </c>
    </row>
    <row r="8" spans="1:4" x14ac:dyDescent="0.35">
      <c r="A8" s="4" t="str">
        <f t="array" aca="1" ref="A8" ca="1">INDEX(Lagging,MATCH(0,COUNTIF($A$1:A7,Lagging),0))</f>
        <v>Elastotec Double Row 40% Dimpled Ceramic</v>
      </c>
      <c r="B8" s="4" t="e">
        <f t="array" aca="1" ref="B8" ca="1">INDEX(Thickness,MATCH(0,COUNTIF($B$1:B7,Thickness)+(Lagging&lt;&gt;Analysis!$D$32),0))</f>
        <v>#N/A</v>
      </c>
      <c r="C8" s="4" t="e" cm="1">
        <f t="array" aca="1" ref="C8" ca="1">INDEX(Duro,MATCH(0,COUNTIF($C$1:C7,Duro)+(Lagging&lt;&gt;Analysis!$D$32)+(Thickness&lt;&gt;Analysis!$D$33),0))</f>
        <v>#N/A</v>
      </c>
    </row>
    <row r="9" spans="1:4" x14ac:dyDescent="0.35">
      <c r="A9" s="4" t="str">
        <f t="array" aca="1" ref="A9" ca="1">INDEX(Lagging,MATCH(0,COUNTIF($A$1:A8,Lagging),0))</f>
        <v>Elastotec Medium Double Row 42% Dimpled Ceramic</v>
      </c>
      <c r="B9" s="4" t="e">
        <f t="array" aca="1" ref="B9" ca="1">INDEX(Thickness,MATCH(0,COUNTIF($B$1:B8,Thickness)+(Lagging&lt;&gt;Analysis!$D$32),0))</f>
        <v>#N/A</v>
      </c>
      <c r="C9" s="4" t="e" cm="1">
        <f t="array" aca="1" ref="C9" ca="1">INDEX(Duro,MATCH(0,COUNTIF($C$1:C8,Duro)+(Lagging&lt;&gt;Analysis!$D$32)+(Thickness&lt;&gt;Analysis!$D$33),0))</f>
        <v>#N/A</v>
      </c>
    </row>
    <row r="10" spans="1:4" x14ac:dyDescent="0.35">
      <c r="A10" s="4" t="str">
        <f t="array" aca="1" ref="A10" ca="1">INDEX(Lagging,MATCH(0,COUNTIF($A$1:A9,Lagging),0))</f>
        <v>Elastotec Medium Double Row 42% Smooth Ceramic</v>
      </c>
      <c r="B10" s="4" t="e">
        <f t="array" aca="1" ref="B10" ca="1">INDEX(Thickness,MATCH(0,COUNTIF($B$1:B9,Thickness)+(Lagging&lt;&gt;Analysis!$D$32),0))</f>
        <v>#N/A</v>
      </c>
      <c r="C10" s="4" t="e" cm="1">
        <f t="array" aca="1" ref="C10" ca="1">INDEX(Duro,MATCH(0,COUNTIF($C$1:C9,Duro)+(Lagging&lt;&gt;Analysis!$D$32)+(Thickness&lt;&gt;Analysis!$D$33),0))</f>
        <v>#N/A</v>
      </c>
    </row>
    <row r="11" spans="1:4" x14ac:dyDescent="0.35">
      <c r="A11" s="4" t="str">
        <f t="array" aca="1" ref="A11" ca="1">INDEX(Lagging,MATCH(0,COUNTIF($A$1:A10,Lagging),0))</f>
        <v>Elastotec Extreme 42% Dimpled Ceramic</v>
      </c>
      <c r="B11" s="4" t="e">
        <f t="array" aca="1" ref="B11" ca="1">INDEX(Thickness,MATCH(0,COUNTIF($B$1:B10,Thickness)+(Lagging&lt;&gt;Analysis!$D$32),0))</f>
        <v>#N/A</v>
      </c>
      <c r="C11" s="4" t="e" cm="1">
        <f t="array" aca="1" ref="C11" ca="1">INDEX(Duro,MATCH(0,COUNTIF($C$1:C10,Duro)+(Lagging&lt;&gt;Analysis!$D$32)+(Thickness&lt;&gt;Analysis!$D$33),0))</f>
        <v>#N/A</v>
      </c>
    </row>
    <row r="12" spans="1:4" x14ac:dyDescent="0.35">
      <c r="A12" s="4" t="str">
        <f t="array" aca="1" ref="A12" ca="1">INDEX(Lagging,MATCH(0,COUNTIF($A$1:A11,Lagging),0))</f>
        <v>Elastotec Full 80% Dimpled Ceramic</v>
      </c>
      <c r="B12" s="4" t="e">
        <f t="array" aca="1" ref="B12" ca="1">INDEX(Thickness,MATCH(0,COUNTIF($B$1:B11,Thickness)+(Lagging&lt;&gt;Analysis!$D$32),0))</f>
        <v>#N/A</v>
      </c>
      <c r="C12" s="4" t="e" cm="1">
        <f t="array" aca="1" ref="C12" ca="1">INDEX(Duro,MATCH(0,COUNTIF($C$1:C11,Duro)+(Lagging&lt;&gt;Analysis!$D$32)+(Thickness&lt;&gt;Analysis!$D$33),0))</f>
        <v>#N/A</v>
      </c>
    </row>
    <row r="13" spans="1:4" x14ac:dyDescent="0.35">
      <c r="A13" s="4" t="str">
        <f t="array" aca="1" ref="A13" ca="1">INDEX(Lagging,MATCH(0,COUNTIF($A$1:A12,Lagging),0))</f>
        <v>Elastotec Full 80% Smooth Ceramic</v>
      </c>
      <c r="B13" s="4" t="e">
        <f t="array" aca="1" ref="B13" ca="1">INDEX(Thickness,MATCH(0,COUNTIF($B$1:B12,Thickness)+(Lagging&lt;&gt;Analysis!$D$32),0))</f>
        <v>#N/A</v>
      </c>
      <c r="C13" s="4" t="e" cm="1">
        <f t="array" aca="1" ref="C13" ca="1">INDEX(Duro,MATCH(0,COUNTIF($C$1:C12,Duro)+(Lagging&lt;&gt;Analysis!$D$32)+(Thickness&lt;&gt;Analysis!$D$33),0))</f>
        <v>#N/A</v>
      </c>
    </row>
    <row r="14" spans="1:4" x14ac:dyDescent="0.35">
      <c r="A14" s="4" t="str">
        <f t="array" aca="1" ref="A14" ca="1">INDEX(Lagging,MATCH(0,COUNTIF($A$1:A13,Lagging),0))</f>
        <v>Elastotec Extreme 80% Dimpled Ceramic</v>
      </c>
      <c r="B14" s="4" t="e">
        <f t="array" aca="1" ref="B14" ca="1">INDEX(Thickness,MATCH(0,COUNTIF($B$1:B13,Thickness)+(Lagging&lt;&gt;Analysis!$D$32),0))</f>
        <v>#N/A</v>
      </c>
      <c r="C14" s="4" t="e" cm="1">
        <f t="array" aca="1" ref="C14" ca="1">INDEX(Duro,MATCH(0,COUNTIF($C$1:C13,Duro)+(Lagging&lt;&gt;Analysis!$D$32)+(Thickness&lt;&gt;Analysis!$D$33),0))</f>
        <v>#N/A</v>
      </c>
    </row>
    <row r="15" spans="1:4" x14ac:dyDescent="0.35">
      <c r="A15" s="4" t="str">
        <f t="array" aca="1" ref="A15" ca="1">INDEX(Lagging,MATCH(0,COUNTIF($A$1:A14,Lagging),0))</f>
        <v>Elastotec Direct Bond Dimpled</v>
      </c>
      <c r="B15" s="4" t="e">
        <f t="array" aca="1" ref="B15" ca="1">INDEX(Thickness,MATCH(0,COUNTIF($B$1:B14,Thickness)+(Lagging&lt;&gt;Analysis!$D$32),0))</f>
        <v>#N/A</v>
      </c>
      <c r="C15" s="4" t="e" cm="1">
        <f t="array" aca="1" ref="C15" ca="1">INDEX(Duro,MATCH(0,COUNTIF($C$1:C14,Duro)+(Lagging&lt;&gt;Analysis!$D$32)+(Thickness&lt;&gt;Analysis!$D$33),0))</f>
        <v>#N/A</v>
      </c>
    </row>
    <row r="16" spans="1:4" x14ac:dyDescent="0.35">
      <c r="A16" s="4" t="str">
        <f t="array" aca="1" ref="A16" ca="1">INDEX(Lagging,MATCH(0,COUNTIF($A$1:A15,Lagging),0))</f>
        <v>Elastotec Direct Bond Smooth</v>
      </c>
      <c r="B16" s="4" t="e">
        <f t="array" aca="1" ref="B16" ca="1">INDEX(Thickness,MATCH(0,COUNTIF($B$1:B15,Thickness)+(Lagging&lt;&gt;Analysis!$D$32),0))</f>
        <v>#N/A</v>
      </c>
      <c r="C16" s="4" t="e" cm="1">
        <f t="array" aca="1" ref="C16" ca="1">INDEX(Duro,MATCH(0,COUNTIF($C$1:C15,Duro)+(Lagging&lt;&gt;Analysis!$D$32)+(Thickness&lt;&gt;Analysis!$D$33),0))</f>
        <v>#N/A</v>
      </c>
    </row>
    <row r="17" spans="1:3" x14ac:dyDescent="0.35">
      <c r="A17" s="4" t="str">
        <f t="array" aca="1" ref="A17" ca="1">INDEX(Lagging,MATCH(0,COUNTIF($A$1:A16,Lagging),0))</f>
        <v>Elastotec Diamond Rubber</v>
      </c>
      <c r="B17" s="4" t="e">
        <f t="array" aca="1" ref="B17" ca="1">INDEX(Thickness,MATCH(0,COUNTIF($B$1:B16,Thickness)+(Lagging&lt;&gt;Analysis!$D$32),0))</f>
        <v>#N/A</v>
      </c>
      <c r="C17" s="4" t="e" cm="1">
        <f t="array" aca="1" ref="C17" ca="1">INDEX(Duro,MATCH(0,COUNTIF($C$1:C16,Duro)+(Lagging&lt;&gt;Analysis!$D$32)+(Thickness&lt;&gt;Analysis!$D$33),0))</f>
        <v>#N/A</v>
      </c>
    </row>
    <row r="18" spans="1:3" x14ac:dyDescent="0.35">
      <c r="A18" s="4" t="str">
        <f t="array" aca="1" ref="A18" ca="1">INDEX(Lagging,MATCH(0,COUNTIF($A$1:A17,Lagging),0))</f>
        <v>Elastotec Large Diamond Rubber</v>
      </c>
      <c r="B18" s="4" t="e">
        <f t="array" aca="1" ref="B18" ca="1">INDEX(Thickness,MATCH(0,COUNTIF($B$1:B17,Thickness)+(Lagging&lt;&gt;Analysis!$D$32),0))</f>
        <v>#N/A</v>
      </c>
      <c r="C18" s="4" t="e" cm="1">
        <f t="array" aca="1" ref="C18" ca="1">INDEX(Duro,MATCH(0,COUNTIF($C$1:C17,Duro)+(Lagging&lt;&gt;Analysis!$D$32)+(Thickness&lt;&gt;Analysis!$D$33),0))</f>
        <v>#N/A</v>
      </c>
    </row>
    <row r="19" spans="1:3" x14ac:dyDescent="0.35">
      <c r="A19" s="4" t="str">
        <f t="array" aca="1" ref="A19" ca="1">INDEX(Lagging,MATCH(0,COUNTIF($A$1:A18,Lagging),0))</f>
        <v>Elastotec Extreme Rubber</v>
      </c>
      <c r="B19" s="4" t="e">
        <f t="array" aca="1" ref="B19" ca="1">INDEX(Thickness,MATCH(0,COUNTIF($B$1:B18,Thickness)+(Lagging&lt;&gt;Analysis!$D$32),0))</f>
        <v>#N/A</v>
      </c>
      <c r="C19" s="4" t="e" cm="1">
        <f t="array" aca="1" ref="C19" ca="1">INDEX(Duro,MATCH(0,COUNTIF($C$1:C18,Duro)+(Lagging&lt;&gt;Analysis!$D$32)+(Thickness&lt;&gt;Analysis!$D$33),0))</f>
        <v>#N/A</v>
      </c>
    </row>
    <row r="20" spans="1:3" x14ac:dyDescent="0.35">
      <c r="A20" s="4" t="str">
        <f t="array" aca="1" ref="A20" ca="1">INDEX(Lagging,MATCH(0,COUNTIF($A$1:A19,Lagging),0))</f>
        <v>Chevron Rubber 75P x 6D x 6W</v>
      </c>
      <c r="B20" s="4" t="e">
        <f t="array" aca="1" ref="B20" ca="1">INDEX(Thickness,MATCH(0,COUNTIF($B$1:B19,Thickness)+(Lagging&lt;&gt;Analysis!$D$32),0))</f>
        <v>#N/A</v>
      </c>
      <c r="C20" s="4" t="e" cm="1">
        <f t="array" aca="1" ref="C20" ca="1">INDEX(Duro,MATCH(0,COUNTIF($C$1:C19,Duro)+(Lagging&lt;&gt;Analysis!$D$32)+(Thickness&lt;&gt;Analysis!$D$33),0))</f>
        <v>#N/A</v>
      </c>
    </row>
    <row r="21" spans="1:3" x14ac:dyDescent="0.35">
      <c r="A21" s="4" t="str">
        <f t="array" aca="1" ref="A21" ca="1">INDEX(Lagging,MATCH(0,COUNTIF($A$1:A20,Lagging),0))</f>
        <v>Herringbone Rubber 106P x 8D x 6W</v>
      </c>
      <c r="B21" s="4" t="e">
        <f t="array" aca="1" ref="B21" ca="1">INDEX(Thickness,MATCH(0,COUNTIF($B$1:B20,Thickness)+(Lagging&lt;&gt;Analysis!$D$32),0))</f>
        <v>#N/A</v>
      </c>
      <c r="C21" s="4" t="e" cm="1">
        <f t="array" aca="1" ref="C21" ca="1">INDEX(Duro,MATCH(0,COUNTIF($C$1:C20,Duro)+(Lagging&lt;&gt;Analysis!$D$32)+(Thickness&lt;&gt;Analysis!$D$33),0))</f>
        <v>#N/A</v>
      </c>
    </row>
    <row r="22" spans="1:3" x14ac:dyDescent="0.35">
      <c r="A22" s="4" t="str">
        <f t="array" aca="1" ref="A22" ca="1">INDEX(Lagging,MATCH(0,COUNTIF($A$1:A21,Lagging),0))</f>
        <v>Hand Cut Diamond Rubber 300x105x5</v>
      </c>
      <c r="B22" s="4" t="e">
        <f t="array" aca="1" ref="B22" ca="1">INDEX(Thickness,MATCH(0,COUNTIF($B$1:B21,Thickness)+(Lagging&lt;&gt;Analysis!$D$32),0))</f>
        <v>#N/A</v>
      </c>
      <c r="C22" s="4" t="e" cm="1">
        <f t="array" aca="1" ref="C22" ca="1">INDEX(Duro,MATCH(0,COUNTIF($C$1:C21,Duro)+(Lagging&lt;&gt;Analysis!$D$32)+(Thickness&lt;&gt;Analysis!$D$33),0))</f>
        <v>#N/A</v>
      </c>
    </row>
    <row r="23" spans="1:3" x14ac:dyDescent="0.35">
      <c r="A23" s="4" t="str">
        <f t="array" aca="1" ref="A23" ca="1">INDEX(Lagging,MATCH(0,COUNTIF($A$1:A22,Lagging),0))</f>
        <v>HC Diamond Rubber 90x50x10</v>
      </c>
      <c r="B23" s="4" t="e">
        <f t="array" aca="1" ref="B23" ca="1">INDEX(Thickness,MATCH(0,COUNTIF($B$1:B22,Thickness)+(Lagging&lt;&gt;Analysis!$D$32),0))</f>
        <v>#N/A</v>
      </c>
      <c r="C23" s="4" t="e" cm="1">
        <f t="array" aca="1" ref="C23" ca="1">INDEX(Duro,MATCH(0,COUNTIF($C$1:C22,Duro)+(Lagging&lt;&gt;Analysis!$D$32)+(Thickness&lt;&gt;Analysis!$D$33),0))</f>
        <v>#N/A</v>
      </c>
    </row>
    <row r="24" spans="1:3" x14ac:dyDescent="0.35">
      <c r="A24" s="4" t="str">
        <f t="array" aca="1" ref="A24" ca="1">INDEX(Lagging,MATCH(0,COUNTIF($A$1:A23,Lagging),0))</f>
        <v>Elastotec HTB Rubber</v>
      </c>
      <c r="B24" s="4" t="e">
        <f t="array" aca="1" ref="B24" ca="1">INDEX(Thickness,MATCH(0,COUNTIF($B$1:B23,Thickness)+(Lagging&lt;&gt;Analysis!$D$32),0))</f>
        <v>#N/A</v>
      </c>
      <c r="C24" s="4" t="e" cm="1">
        <f t="array" aca="1" ref="C24" ca="1">INDEX(Duro,MATCH(0,COUNTIF($C$1:C23,Duro)+(Lagging&lt;&gt;Analysis!$D$32)+(Thickness&lt;&gt;Analysis!$D$33),0))</f>
        <v>#N/A</v>
      </c>
    </row>
    <row r="25" spans="1:3" x14ac:dyDescent="0.35">
      <c r="A25" s="4" t="e">
        <f t="array" aca="1" ref="A25" ca="1">INDEX(Lagging,MATCH(0,COUNTIF($A$1:A24,Lagging),0))</f>
        <v>#N/A</v>
      </c>
      <c r="B25" s="4" t="e">
        <f t="array" aca="1" ref="B25" ca="1">INDEX(Thickness,MATCH(0,COUNTIF($B$1:B24,Thickness)+(Lagging&lt;&gt;Analysis!$D$32),0))</f>
        <v>#N/A</v>
      </c>
      <c r="C25" s="4" t="e" cm="1">
        <f t="array" aca="1" ref="C25" ca="1">INDEX(Duro,MATCH(0,COUNTIF($C$1:C24,Duro)+(Lagging&lt;&gt;Analysis!$D$32)+(Thickness&lt;&gt;Analysis!$D$33),0))</f>
        <v>#N/A</v>
      </c>
    </row>
    <row r="26" spans="1:3" x14ac:dyDescent="0.35">
      <c r="A26" s="4" t="e">
        <f t="array" aca="1" ref="A26" ca="1">INDEX(Lagging,MATCH(0,COUNTIF($A$1:A25,Lagging),0))</f>
        <v>#N/A</v>
      </c>
      <c r="B26" s="4" t="e">
        <f t="array" aca="1" ref="B26" ca="1">INDEX(Thickness,MATCH(0,COUNTIF($B$1:B25,Thickness)+(Lagging&lt;&gt;Analysis!$D$32),0))</f>
        <v>#N/A</v>
      </c>
      <c r="C26" s="4" t="e" cm="1">
        <f t="array" aca="1" ref="C26" ca="1">INDEX(Duro,MATCH(0,COUNTIF($C$1:C25,Duro)+(Lagging&lt;&gt;Analysis!$D$32)+(Thickness&lt;&gt;Analysis!$D$33),0))</f>
        <v>#N/A</v>
      </c>
    </row>
    <row r="27" spans="1:3" x14ac:dyDescent="0.35">
      <c r="A27" s="4" t="e">
        <f t="array" aca="1" ref="A27" ca="1">INDEX(Lagging,MATCH(0,COUNTIF($A$1:A26,Lagging),0))</f>
        <v>#N/A</v>
      </c>
      <c r="B27" s="4" t="e">
        <f t="array" aca="1" ref="B27" ca="1">INDEX(Thickness,MATCH(0,COUNTIF($B$1:B26,Thickness)+(Lagging&lt;&gt;Analysis!$D$32),0))</f>
        <v>#N/A</v>
      </c>
      <c r="C27" s="4" t="e" cm="1">
        <f t="array" aca="1" ref="C27" ca="1">INDEX(Duro,MATCH(0,COUNTIF($C$1:C26,Duro)+(Lagging&lt;&gt;Analysis!$D$32)+(Thickness&lt;&gt;Analysis!$D$33),0))</f>
        <v>#N/A</v>
      </c>
    </row>
  </sheetData>
  <sheetProtection selectLockedCells="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6BBA3-0C3B-4849-B2A7-9E99492F162E}">
  <sheetPr codeName="Sheet6"/>
  <dimension ref="B1:F8"/>
  <sheetViews>
    <sheetView workbookViewId="0">
      <selection activeCell="F23" sqref="F23"/>
    </sheetView>
  </sheetViews>
  <sheetFormatPr defaultColWidth="8.81640625" defaultRowHeight="14.5" x14ac:dyDescent="0.35"/>
  <cols>
    <col min="1" max="1" width="1.453125" customWidth="1"/>
  </cols>
  <sheetData>
    <row r="1" spans="2:6" x14ac:dyDescent="0.35">
      <c r="F1" s="2" t="s">
        <v>194</v>
      </c>
    </row>
    <row r="4" spans="2:6" x14ac:dyDescent="0.35">
      <c r="B4" s="56" t="s">
        <v>195</v>
      </c>
    </row>
    <row r="5" spans="2:6" x14ac:dyDescent="0.35">
      <c r="B5" s="56"/>
    </row>
    <row r="6" spans="2:6" x14ac:dyDescent="0.35">
      <c r="B6" s="56" t="s">
        <v>196</v>
      </c>
    </row>
    <row r="7" spans="2:6" x14ac:dyDescent="0.35">
      <c r="B7" s="56"/>
    </row>
    <row r="8" spans="2:6" x14ac:dyDescent="0.35">
      <c r="B8" s="56" t="s">
        <v>197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D142"/>
  <sheetViews>
    <sheetView topLeftCell="A115" workbookViewId="0">
      <selection activeCell="H147" sqref="H147"/>
    </sheetView>
  </sheetViews>
  <sheetFormatPr defaultColWidth="8.81640625" defaultRowHeight="14.5" x14ac:dyDescent="0.35"/>
  <cols>
    <col min="1" max="1" width="2.453125" customWidth="1"/>
    <col min="3" max="3" width="10.1796875" bestFit="1" customWidth="1"/>
  </cols>
  <sheetData>
    <row r="1" spans="2:4" x14ac:dyDescent="0.35">
      <c r="B1" t="s">
        <v>9</v>
      </c>
      <c r="C1" t="s">
        <v>10</v>
      </c>
    </row>
    <row r="3" spans="2:4" x14ac:dyDescent="0.35">
      <c r="B3" t="s">
        <v>14</v>
      </c>
      <c r="C3" s="5">
        <v>44420</v>
      </c>
      <c r="D3" t="s">
        <v>130</v>
      </c>
    </row>
    <row r="5" spans="2:4" x14ac:dyDescent="0.35">
      <c r="B5" t="s">
        <v>129</v>
      </c>
      <c r="C5" s="5">
        <v>44433</v>
      </c>
      <c r="D5" t="s">
        <v>131</v>
      </c>
    </row>
    <row r="6" spans="2:4" x14ac:dyDescent="0.35">
      <c r="C6" s="5">
        <v>44433</v>
      </c>
      <c r="D6" t="s">
        <v>132</v>
      </c>
    </row>
    <row r="7" spans="2:4" x14ac:dyDescent="0.35">
      <c r="C7" s="5">
        <v>44433</v>
      </c>
      <c r="D7" t="s">
        <v>134</v>
      </c>
    </row>
    <row r="8" spans="2:4" x14ac:dyDescent="0.35">
      <c r="C8" s="5"/>
    </row>
    <row r="9" spans="2:4" x14ac:dyDescent="0.35">
      <c r="B9" t="s">
        <v>133</v>
      </c>
      <c r="C9" s="5">
        <v>44434</v>
      </c>
      <c r="D9" t="s">
        <v>135</v>
      </c>
    </row>
    <row r="10" spans="2:4" x14ac:dyDescent="0.35">
      <c r="C10" s="5">
        <v>44434</v>
      </c>
      <c r="D10" t="s">
        <v>136</v>
      </c>
    </row>
    <row r="11" spans="2:4" x14ac:dyDescent="0.35">
      <c r="C11" s="5"/>
    </row>
    <row r="12" spans="2:4" x14ac:dyDescent="0.35">
      <c r="B12" t="s">
        <v>100</v>
      </c>
      <c r="C12" s="5">
        <v>44456</v>
      </c>
      <c r="D12" t="s">
        <v>137</v>
      </c>
    </row>
    <row r="13" spans="2:4" x14ac:dyDescent="0.35">
      <c r="C13" s="5">
        <v>44456</v>
      </c>
      <c r="D13" t="s">
        <v>138</v>
      </c>
    </row>
    <row r="14" spans="2:4" x14ac:dyDescent="0.35">
      <c r="C14" s="5">
        <v>44456</v>
      </c>
      <c r="D14" t="s">
        <v>141</v>
      </c>
    </row>
    <row r="16" spans="2:4" x14ac:dyDescent="0.35">
      <c r="B16" t="s">
        <v>140</v>
      </c>
      <c r="C16" s="5">
        <v>44469</v>
      </c>
      <c r="D16" t="s">
        <v>152</v>
      </c>
    </row>
    <row r="17" spans="2:4" x14ac:dyDescent="0.35">
      <c r="C17" s="5">
        <v>44475</v>
      </c>
      <c r="D17" t="s">
        <v>153</v>
      </c>
    </row>
    <row r="18" spans="2:4" x14ac:dyDescent="0.35">
      <c r="C18" s="5">
        <v>44505</v>
      </c>
      <c r="D18" t="s">
        <v>154</v>
      </c>
    </row>
    <row r="20" spans="2:4" x14ac:dyDescent="0.35">
      <c r="B20" t="s">
        <v>142</v>
      </c>
      <c r="C20" s="5">
        <v>44522</v>
      </c>
      <c r="D20" t="s">
        <v>158</v>
      </c>
    </row>
    <row r="21" spans="2:4" x14ac:dyDescent="0.35">
      <c r="C21" s="5">
        <v>44524</v>
      </c>
      <c r="D21" t="s">
        <v>155</v>
      </c>
    </row>
    <row r="22" spans="2:4" x14ac:dyDescent="0.35">
      <c r="C22" s="5">
        <v>44529</v>
      </c>
      <c r="D22" t="s">
        <v>159</v>
      </c>
    </row>
    <row r="23" spans="2:4" x14ac:dyDescent="0.35">
      <c r="C23" s="5">
        <v>44530</v>
      </c>
      <c r="D23" t="s">
        <v>161</v>
      </c>
    </row>
    <row r="25" spans="2:4" x14ac:dyDescent="0.35">
      <c r="B25" t="s">
        <v>160</v>
      </c>
      <c r="C25" s="5">
        <v>44535</v>
      </c>
      <c r="D25" t="s">
        <v>184</v>
      </c>
    </row>
    <row r="26" spans="2:4" x14ac:dyDescent="0.35">
      <c r="C26" s="5">
        <v>44535</v>
      </c>
      <c r="D26" t="s">
        <v>187</v>
      </c>
    </row>
    <row r="27" spans="2:4" x14ac:dyDescent="0.35">
      <c r="C27" s="5">
        <v>44540</v>
      </c>
      <c r="D27" t="s">
        <v>185</v>
      </c>
    </row>
    <row r="28" spans="2:4" x14ac:dyDescent="0.35">
      <c r="C28" s="5">
        <v>44541</v>
      </c>
      <c r="D28" t="s">
        <v>186</v>
      </c>
    </row>
    <row r="30" spans="2:4" x14ac:dyDescent="0.35">
      <c r="B30" t="s">
        <v>188</v>
      </c>
      <c r="C30" s="5">
        <v>44543</v>
      </c>
      <c r="D30" t="s">
        <v>189</v>
      </c>
    </row>
    <row r="31" spans="2:4" x14ac:dyDescent="0.35">
      <c r="C31" s="5">
        <v>44544</v>
      </c>
      <c r="D31" t="s">
        <v>190</v>
      </c>
    </row>
    <row r="32" spans="2:4" x14ac:dyDescent="0.35">
      <c r="C32" s="5">
        <v>44544</v>
      </c>
      <c r="D32" t="s">
        <v>192</v>
      </c>
    </row>
    <row r="33" spans="2:4" x14ac:dyDescent="0.35">
      <c r="C33" s="5">
        <v>44544</v>
      </c>
      <c r="D33" t="s">
        <v>198</v>
      </c>
    </row>
    <row r="35" spans="2:4" x14ac:dyDescent="0.35">
      <c r="B35" t="s">
        <v>200</v>
      </c>
      <c r="C35" s="5">
        <v>44621</v>
      </c>
      <c r="D35" t="s">
        <v>201</v>
      </c>
    </row>
    <row r="36" spans="2:4" x14ac:dyDescent="0.35">
      <c r="C36" s="5">
        <v>44628</v>
      </c>
      <c r="D36" t="s">
        <v>202</v>
      </c>
    </row>
    <row r="37" spans="2:4" x14ac:dyDescent="0.35">
      <c r="C37" s="5"/>
    </row>
    <row r="38" spans="2:4" x14ac:dyDescent="0.35">
      <c r="B38" t="s">
        <v>203</v>
      </c>
      <c r="C38" s="5">
        <v>44732</v>
      </c>
      <c r="D38" t="s">
        <v>204</v>
      </c>
    </row>
    <row r="39" spans="2:4" x14ac:dyDescent="0.35">
      <c r="C39" s="5">
        <v>44732</v>
      </c>
      <c r="D39" t="s">
        <v>205</v>
      </c>
    </row>
    <row r="40" spans="2:4" x14ac:dyDescent="0.35">
      <c r="C40" s="5">
        <v>44740</v>
      </c>
      <c r="D40" t="s">
        <v>206</v>
      </c>
    </row>
    <row r="41" spans="2:4" x14ac:dyDescent="0.35">
      <c r="C41" s="5">
        <v>44743</v>
      </c>
      <c r="D41" t="s">
        <v>207</v>
      </c>
    </row>
    <row r="42" spans="2:4" x14ac:dyDescent="0.35">
      <c r="C42" s="5">
        <v>44748</v>
      </c>
      <c r="D42" t="s">
        <v>209</v>
      </c>
    </row>
    <row r="43" spans="2:4" x14ac:dyDescent="0.35">
      <c r="C43" s="5">
        <v>44755</v>
      </c>
      <c r="D43" t="s">
        <v>212</v>
      </c>
    </row>
    <row r="44" spans="2:4" x14ac:dyDescent="0.35">
      <c r="C44" s="5">
        <v>44781</v>
      </c>
      <c r="D44" t="s">
        <v>214</v>
      </c>
    </row>
    <row r="45" spans="2:4" x14ac:dyDescent="0.35">
      <c r="C45" s="5"/>
    </row>
    <row r="46" spans="2:4" x14ac:dyDescent="0.35">
      <c r="B46" t="s">
        <v>238</v>
      </c>
      <c r="C46" s="5">
        <v>44790</v>
      </c>
      <c r="D46" t="s">
        <v>239</v>
      </c>
    </row>
    <row r="47" spans="2:4" x14ac:dyDescent="0.35">
      <c r="C47" s="5">
        <v>44812</v>
      </c>
      <c r="D47" t="s">
        <v>258</v>
      </c>
    </row>
    <row r="48" spans="2:4" x14ac:dyDescent="0.35">
      <c r="C48" s="5"/>
    </row>
    <row r="49" spans="2:4" x14ac:dyDescent="0.35">
      <c r="B49" t="s">
        <v>259</v>
      </c>
      <c r="C49" s="5">
        <v>44855</v>
      </c>
      <c r="D49" t="s">
        <v>260</v>
      </c>
    </row>
    <row r="50" spans="2:4" x14ac:dyDescent="0.35">
      <c r="C50" s="5"/>
    </row>
    <row r="51" spans="2:4" x14ac:dyDescent="0.35">
      <c r="B51" t="s">
        <v>261</v>
      </c>
      <c r="C51" s="5">
        <v>44875</v>
      </c>
      <c r="D51" t="s">
        <v>262</v>
      </c>
    </row>
    <row r="52" spans="2:4" x14ac:dyDescent="0.35">
      <c r="C52" s="5"/>
    </row>
    <row r="53" spans="2:4" x14ac:dyDescent="0.35">
      <c r="B53" t="s">
        <v>149</v>
      </c>
      <c r="C53" s="5">
        <v>44887</v>
      </c>
      <c r="D53" t="s">
        <v>263</v>
      </c>
    </row>
    <row r="54" spans="2:4" x14ac:dyDescent="0.35">
      <c r="C54" s="5">
        <v>44887</v>
      </c>
      <c r="D54" t="s">
        <v>284</v>
      </c>
    </row>
    <row r="55" spans="2:4" x14ac:dyDescent="0.35">
      <c r="C55" s="5"/>
    </row>
    <row r="56" spans="2:4" x14ac:dyDescent="0.35">
      <c r="B56" t="s">
        <v>285</v>
      </c>
      <c r="C56" s="5">
        <v>44894</v>
      </c>
      <c r="D56" t="s">
        <v>286</v>
      </c>
    </row>
    <row r="57" spans="2:4" x14ac:dyDescent="0.35">
      <c r="C57" s="5">
        <v>44894</v>
      </c>
      <c r="D57" t="s">
        <v>287</v>
      </c>
    </row>
    <row r="58" spans="2:4" x14ac:dyDescent="0.35">
      <c r="C58" s="5"/>
    </row>
    <row r="59" spans="2:4" x14ac:dyDescent="0.35">
      <c r="B59" t="s">
        <v>292</v>
      </c>
      <c r="C59" s="5">
        <v>44933</v>
      </c>
      <c r="D59" t="s">
        <v>293</v>
      </c>
    </row>
    <row r="60" spans="2:4" x14ac:dyDescent="0.35">
      <c r="C60" s="5">
        <v>44933</v>
      </c>
      <c r="D60" t="s">
        <v>298</v>
      </c>
    </row>
    <row r="61" spans="2:4" x14ac:dyDescent="0.35">
      <c r="C61" s="5"/>
    </row>
    <row r="62" spans="2:4" x14ac:dyDescent="0.35">
      <c r="B62" t="s">
        <v>307</v>
      </c>
      <c r="C62" s="5">
        <v>44992</v>
      </c>
      <c r="D62" t="s">
        <v>308</v>
      </c>
    </row>
    <row r="63" spans="2:4" x14ac:dyDescent="0.35">
      <c r="C63" s="5">
        <v>45006</v>
      </c>
      <c r="D63" t="s">
        <v>309</v>
      </c>
    </row>
    <row r="64" spans="2:4" x14ac:dyDescent="0.35">
      <c r="C64" s="5">
        <v>45013</v>
      </c>
      <c r="D64" t="s">
        <v>313</v>
      </c>
    </row>
    <row r="65" spans="2:4" x14ac:dyDescent="0.35">
      <c r="C65" s="5">
        <v>45022</v>
      </c>
      <c r="D65" t="s">
        <v>333</v>
      </c>
    </row>
    <row r="66" spans="2:4" x14ac:dyDescent="0.35">
      <c r="C66" s="5">
        <v>45035</v>
      </c>
      <c r="D66" t="s">
        <v>346</v>
      </c>
    </row>
    <row r="68" spans="2:4" x14ac:dyDescent="0.35">
      <c r="B68" t="s">
        <v>347</v>
      </c>
      <c r="C68" s="5">
        <v>45058</v>
      </c>
      <c r="D68" t="s">
        <v>348</v>
      </c>
    </row>
    <row r="70" spans="2:4" x14ac:dyDescent="0.35">
      <c r="B70" t="s">
        <v>349</v>
      </c>
      <c r="C70" s="5">
        <v>45071</v>
      </c>
      <c r="D70" t="s">
        <v>350</v>
      </c>
    </row>
    <row r="71" spans="2:4" x14ac:dyDescent="0.35">
      <c r="C71" s="5">
        <v>45072</v>
      </c>
      <c r="D71" t="s">
        <v>351</v>
      </c>
    </row>
    <row r="73" spans="2:4" x14ac:dyDescent="0.35">
      <c r="B73" t="s">
        <v>352</v>
      </c>
      <c r="C73" s="5">
        <v>45084</v>
      </c>
      <c r="D73" t="s">
        <v>353</v>
      </c>
    </row>
    <row r="74" spans="2:4" x14ac:dyDescent="0.35">
      <c r="C74" s="5">
        <v>45084</v>
      </c>
      <c r="D74" t="s">
        <v>354</v>
      </c>
    </row>
    <row r="76" spans="2:4" x14ac:dyDescent="0.35">
      <c r="B76" t="s">
        <v>355</v>
      </c>
      <c r="C76" s="5">
        <v>45095</v>
      </c>
      <c r="D76" t="s">
        <v>356</v>
      </c>
    </row>
    <row r="77" spans="2:4" x14ac:dyDescent="0.35">
      <c r="C77" s="5">
        <v>45100</v>
      </c>
      <c r="D77" t="s">
        <v>357</v>
      </c>
    </row>
    <row r="78" spans="2:4" x14ac:dyDescent="0.35">
      <c r="C78" s="5">
        <v>45100</v>
      </c>
      <c r="D78" t="s">
        <v>359</v>
      </c>
    </row>
    <row r="79" spans="2:4" x14ac:dyDescent="0.35">
      <c r="C79" s="5"/>
    </row>
    <row r="80" spans="2:4" x14ac:dyDescent="0.35">
      <c r="B80" t="s">
        <v>361</v>
      </c>
      <c r="C80" s="5">
        <v>45138</v>
      </c>
      <c r="D80" t="s">
        <v>362</v>
      </c>
    </row>
    <row r="82" spans="2:4" x14ac:dyDescent="0.35">
      <c r="B82" t="s">
        <v>363</v>
      </c>
      <c r="C82" s="5">
        <v>45208</v>
      </c>
      <c r="D82" t="s">
        <v>364</v>
      </c>
    </row>
    <row r="84" spans="2:4" x14ac:dyDescent="0.35">
      <c r="B84" t="s">
        <v>366</v>
      </c>
      <c r="C84" s="5">
        <v>45209</v>
      </c>
      <c r="D84" t="s">
        <v>365</v>
      </c>
    </row>
    <row r="85" spans="2:4" x14ac:dyDescent="0.35">
      <c r="C85" s="5">
        <v>45209</v>
      </c>
      <c r="D85" t="s">
        <v>367</v>
      </c>
    </row>
    <row r="86" spans="2:4" x14ac:dyDescent="0.35">
      <c r="C86" s="5">
        <v>45209</v>
      </c>
      <c r="D86" t="s">
        <v>375</v>
      </c>
    </row>
    <row r="88" spans="2:4" x14ac:dyDescent="0.35">
      <c r="B88" t="s">
        <v>376</v>
      </c>
      <c r="C88" s="5">
        <v>45218</v>
      </c>
      <c r="D88" t="s">
        <v>377</v>
      </c>
    </row>
    <row r="90" spans="2:4" x14ac:dyDescent="0.35">
      <c r="B90" t="s">
        <v>378</v>
      </c>
      <c r="C90" s="5">
        <v>45210</v>
      </c>
      <c r="D90" t="s">
        <v>379</v>
      </c>
    </row>
    <row r="91" spans="2:4" x14ac:dyDescent="0.35">
      <c r="C91" s="5"/>
    </row>
    <row r="92" spans="2:4" x14ac:dyDescent="0.35">
      <c r="B92" t="s">
        <v>380</v>
      </c>
      <c r="C92" s="5">
        <v>45124</v>
      </c>
      <c r="D92" t="s">
        <v>381</v>
      </c>
    </row>
    <row r="93" spans="2:4" x14ac:dyDescent="0.35">
      <c r="C93" s="5">
        <v>45251</v>
      </c>
      <c r="D93" t="s">
        <v>382</v>
      </c>
    </row>
    <row r="94" spans="2:4" x14ac:dyDescent="0.35">
      <c r="C94" s="5">
        <v>45253</v>
      </c>
      <c r="D94" t="s">
        <v>383</v>
      </c>
    </row>
    <row r="95" spans="2:4" x14ac:dyDescent="0.35">
      <c r="C95" s="5">
        <v>45273</v>
      </c>
      <c r="D95" t="s">
        <v>385</v>
      </c>
    </row>
    <row r="96" spans="2:4" x14ac:dyDescent="0.35">
      <c r="C96" s="5"/>
    </row>
    <row r="97" spans="2:4" x14ac:dyDescent="0.35">
      <c r="B97" t="s">
        <v>386</v>
      </c>
      <c r="C97" s="5">
        <v>45278</v>
      </c>
      <c r="D97" t="s">
        <v>387</v>
      </c>
    </row>
    <row r="98" spans="2:4" x14ac:dyDescent="0.35">
      <c r="C98" s="5"/>
    </row>
    <row r="99" spans="2:4" x14ac:dyDescent="0.35">
      <c r="B99" t="s">
        <v>391</v>
      </c>
      <c r="C99" s="5">
        <v>45322</v>
      </c>
      <c r="D99" t="s">
        <v>392</v>
      </c>
    </row>
    <row r="100" spans="2:4" x14ac:dyDescent="0.35">
      <c r="C100" s="5">
        <v>45322</v>
      </c>
      <c r="D100" t="s">
        <v>396</v>
      </c>
    </row>
    <row r="102" spans="2:4" x14ac:dyDescent="0.35">
      <c r="B102" t="s">
        <v>397</v>
      </c>
      <c r="C102" s="5">
        <v>45250</v>
      </c>
      <c r="D102" t="s">
        <v>398</v>
      </c>
    </row>
    <row r="103" spans="2:4" x14ac:dyDescent="0.35">
      <c r="C103" s="5">
        <v>45253</v>
      </c>
      <c r="D103" t="s">
        <v>399</v>
      </c>
    </row>
    <row r="104" spans="2:4" x14ac:dyDescent="0.35">
      <c r="C104" s="5">
        <v>45356</v>
      </c>
      <c r="D104" t="s">
        <v>411</v>
      </c>
    </row>
    <row r="105" spans="2:4" x14ac:dyDescent="0.35">
      <c r="C105" s="5">
        <v>45356</v>
      </c>
      <c r="D105" t="s">
        <v>407</v>
      </c>
    </row>
    <row r="106" spans="2:4" x14ac:dyDescent="0.35">
      <c r="C106" s="5">
        <v>45357</v>
      </c>
      <c r="D106" t="s">
        <v>416</v>
      </c>
    </row>
    <row r="108" spans="2:4" x14ac:dyDescent="0.35">
      <c r="B108" t="s">
        <v>4</v>
      </c>
      <c r="C108" s="5">
        <v>45371</v>
      </c>
      <c r="D108" t="s">
        <v>423</v>
      </c>
    </row>
    <row r="109" spans="2:4" x14ac:dyDescent="0.35">
      <c r="C109" s="5"/>
    </row>
    <row r="110" spans="2:4" x14ac:dyDescent="0.35">
      <c r="B110" t="s">
        <v>5</v>
      </c>
      <c r="C110" s="5">
        <v>45372</v>
      </c>
      <c r="D110" t="s">
        <v>424</v>
      </c>
    </row>
    <row r="111" spans="2:4" x14ac:dyDescent="0.35">
      <c r="C111" s="5">
        <v>45372</v>
      </c>
      <c r="D111" t="s">
        <v>425</v>
      </c>
    </row>
    <row r="112" spans="2:4" x14ac:dyDescent="0.35">
      <c r="C112" s="5"/>
    </row>
    <row r="113" spans="2:4" x14ac:dyDescent="0.35">
      <c r="B113" t="s">
        <v>443</v>
      </c>
      <c r="C113" s="5">
        <v>45379</v>
      </c>
      <c r="D113" t="s">
        <v>427</v>
      </c>
    </row>
    <row r="114" spans="2:4" x14ac:dyDescent="0.35">
      <c r="C114" s="5">
        <v>45379</v>
      </c>
      <c r="D114" t="s">
        <v>426</v>
      </c>
    </row>
    <row r="115" spans="2:4" x14ac:dyDescent="0.35">
      <c r="C115" s="5"/>
    </row>
    <row r="116" spans="2:4" x14ac:dyDescent="0.35">
      <c r="B116" t="s">
        <v>448</v>
      </c>
      <c r="C116" s="5">
        <v>45393</v>
      </c>
      <c r="D116" t="s">
        <v>449</v>
      </c>
    </row>
    <row r="117" spans="2:4" x14ac:dyDescent="0.35">
      <c r="C117" s="5">
        <v>45393</v>
      </c>
      <c r="D117" t="s">
        <v>450</v>
      </c>
    </row>
    <row r="119" spans="2:4" x14ac:dyDescent="0.35">
      <c r="B119" t="s">
        <v>451</v>
      </c>
      <c r="C119" s="5">
        <v>45398</v>
      </c>
      <c r="D119" t="s">
        <v>452</v>
      </c>
    </row>
    <row r="120" spans="2:4" x14ac:dyDescent="0.35">
      <c r="C120" s="5">
        <v>45399</v>
      </c>
      <c r="D120" t="s">
        <v>453</v>
      </c>
    </row>
    <row r="122" spans="2:4" x14ac:dyDescent="0.35">
      <c r="B122" t="s">
        <v>455</v>
      </c>
      <c r="C122" s="5">
        <v>45405</v>
      </c>
      <c r="D122" t="s">
        <v>456</v>
      </c>
    </row>
    <row r="123" spans="2:4" x14ac:dyDescent="0.35">
      <c r="C123" s="5">
        <v>45418</v>
      </c>
      <c r="D123" t="s">
        <v>457</v>
      </c>
    </row>
    <row r="125" spans="2:4" x14ac:dyDescent="0.35">
      <c r="B125" t="s">
        <v>458</v>
      </c>
      <c r="C125" s="5">
        <v>45422</v>
      </c>
      <c r="D125" t="s">
        <v>459</v>
      </c>
    </row>
    <row r="127" spans="2:4" x14ac:dyDescent="0.35">
      <c r="B127" t="s">
        <v>460</v>
      </c>
      <c r="C127" s="5">
        <v>45429</v>
      </c>
      <c r="D127" t="s">
        <v>461</v>
      </c>
    </row>
    <row r="128" spans="2:4" x14ac:dyDescent="0.35">
      <c r="C128" s="5">
        <v>45436</v>
      </c>
      <c r="D128" t="s">
        <v>462</v>
      </c>
    </row>
    <row r="129" spans="2:4" x14ac:dyDescent="0.35">
      <c r="C129" s="5">
        <v>45448</v>
      </c>
      <c r="D129" t="s">
        <v>463</v>
      </c>
    </row>
    <row r="131" spans="2:4" x14ac:dyDescent="0.35">
      <c r="B131" t="s">
        <v>466</v>
      </c>
      <c r="C131" s="5">
        <v>45464</v>
      </c>
      <c r="D131" t="s">
        <v>465</v>
      </c>
    </row>
    <row r="132" spans="2:4" x14ac:dyDescent="0.35">
      <c r="C132" s="5">
        <v>45516</v>
      </c>
      <c r="D132" t="s">
        <v>467</v>
      </c>
    </row>
    <row r="134" spans="2:4" x14ac:dyDescent="0.35">
      <c r="B134" t="s">
        <v>468</v>
      </c>
      <c r="C134" s="5">
        <v>45547</v>
      </c>
      <c r="D134" t="s">
        <v>470</v>
      </c>
    </row>
    <row r="135" spans="2:4" x14ac:dyDescent="0.35">
      <c r="C135" s="5"/>
    </row>
    <row r="136" spans="2:4" x14ac:dyDescent="0.35">
      <c r="B136" t="s">
        <v>472</v>
      </c>
      <c r="C136" s="5">
        <v>45579</v>
      </c>
      <c r="D136" t="s">
        <v>471</v>
      </c>
    </row>
    <row r="138" spans="2:4" x14ac:dyDescent="0.35">
      <c r="B138" t="s">
        <v>473</v>
      </c>
      <c r="C138" s="5">
        <v>45608</v>
      </c>
      <c r="D138" t="s">
        <v>475</v>
      </c>
    </row>
    <row r="140" spans="2:4" x14ac:dyDescent="0.35">
      <c r="B140" t="s">
        <v>476</v>
      </c>
      <c r="C140" s="123">
        <v>45693</v>
      </c>
      <c r="D140" t="s">
        <v>477</v>
      </c>
    </row>
    <row r="142" spans="2:4" x14ac:dyDescent="0.35">
      <c r="B142" t="s">
        <v>478</v>
      </c>
      <c r="C142" s="5">
        <v>45711</v>
      </c>
      <c r="D142" t="s">
        <v>479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Analysis</vt:lpstr>
      <vt:lpstr>Lagging Envelope Data</vt:lpstr>
      <vt:lpstr>Variable Friction Data</vt:lpstr>
      <vt:lpstr>Validation</vt:lpstr>
      <vt:lpstr>Liability</vt:lpstr>
      <vt:lpstr>Revisions</vt:lpstr>
      <vt:lpstr>EnvRangeRiskY</vt:lpstr>
      <vt:lpstr>EnvRngSafeY</vt:lpstr>
      <vt:lpstr>EnvRngX</vt:lpstr>
      <vt:lpstr>PBond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 Lawson</dc:creator>
  <cp:lastModifiedBy>raju hoque</cp:lastModifiedBy>
  <cp:lastPrinted>2023-04-19T21:02:38Z</cp:lastPrinted>
  <dcterms:created xsi:type="dcterms:W3CDTF">2019-04-22T18:58:47Z</dcterms:created>
  <dcterms:modified xsi:type="dcterms:W3CDTF">2025-04-24T10:48:26Z</dcterms:modified>
</cp:coreProperties>
</file>